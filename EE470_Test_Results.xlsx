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bstavare_calpoly_edu/Documents/Desktop/Cal Poly/EE470-471_S26/470 Final project/Final Project/00_EE471_Final_S2026/"/>
    </mc:Choice>
  </mc:AlternateContent>
  <xr:revisionPtr revIDLastSave="4122" documentId="11_B0C914BCB145379D3B7C95030619F058D606286D" xr6:coauthVersionLast="47" xr6:coauthVersionMax="47" xr10:uidLastSave="{0B1A4703-6C29-4565-B5CB-F0D1F379E777}"/>
  <bookViews>
    <workbookView xWindow="3230" yWindow="2540" windowWidth="28800" windowHeight="15370" xr2:uid="{00000000-000D-0000-FFFF-FFFF00000000}"/>
  </bookViews>
  <sheets>
    <sheet name="Lighting Trials" sheetId="1" r:id="rId1"/>
    <sheet name="Baseline Trials" sheetId="2" r:id="rId2"/>
    <sheet name="Clutter Trials" sheetId="3" r:id="rId3"/>
    <sheet name="Combined Metr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4" l="1" a="1"/>
  <c r="I38" i="4" s="1"/>
  <c r="B46" i="4"/>
  <c r="C46" i="4"/>
  <c r="D46" i="4" s="1"/>
  <c r="E46" i="4"/>
  <c r="F46" i="4" a="1"/>
  <c r="F46" i="4" s="1"/>
  <c r="G46" i="4" a="1"/>
  <c r="G46" i="4" s="1"/>
  <c r="H46" i="4" a="1"/>
  <c r="H46" i="4" s="1"/>
  <c r="I46" i="4" a="1"/>
  <c r="I46" i="4" s="1"/>
  <c r="J46" i="4" a="1"/>
  <c r="J46" i="4" s="1"/>
  <c r="K46" i="4" a="1"/>
  <c r="K46" i="4" s="1"/>
  <c r="F38" i="4" a="1"/>
  <c r="F38" i="4" s="1"/>
  <c r="G38" i="4" a="1"/>
  <c r="G38" i="4" s="1"/>
  <c r="H38" i="4" a="1"/>
  <c r="H38" i="4" s="1"/>
  <c r="B34" i="4"/>
  <c r="E34" i="4" s="1"/>
  <c r="C34" i="4"/>
  <c r="D34" i="4" s="1"/>
  <c r="F34" i="4" a="1"/>
  <c r="F34" i="4"/>
  <c r="G34" i="4" a="1"/>
  <c r="G34" i="4"/>
  <c r="H34" i="4" a="1"/>
  <c r="H34" i="4" s="1"/>
  <c r="I34" i="4" a="1"/>
  <c r="I34" i="4" s="1"/>
  <c r="J34" i="4" a="1"/>
  <c r="J34" i="4" s="1"/>
  <c r="K34" i="4" a="1"/>
  <c r="K34" i="4" s="1"/>
  <c r="B30" i="4" a="1"/>
  <c r="B30" i="4" s="1"/>
  <c r="C30" i="4" a="1"/>
  <c r="C30" i="4" s="1"/>
  <c r="F30" i="4" a="1"/>
  <c r="F30" i="4" s="1"/>
  <c r="G30" i="4" a="1"/>
  <c r="G30" i="4" s="1"/>
  <c r="H30" i="4" a="1"/>
  <c r="H30" i="4" s="1"/>
  <c r="I30" i="4" a="1"/>
  <c r="I30" i="4" s="1"/>
  <c r="J30" i="4" a="1"/>
  <c r="J30" i="4" s="1"/>
  <c r="K30" i="4" a="1"/>
  <c r="K30" i="4" s="1"/>
  <c r="B29" i="4" a="1"/>
  <c r="B29" i="4" s="1"/>
  <c r="C29" i="4" a="1"/>
  <c r="C29" i="4" s="1"/>
  <c r="F29" i="4" a="1"/>
  <c r="F29" i="4" s="1"/>
  <c r="G29" i="4" a="1"/>
  <c r="G29" i="4" s="1"/>
  <c r="H29" i="4" a="1"/>
  <c r="H29" i="4" s="1"/>
  <c r="I29" i="4" a="1"/>
  <c r="I29" i="4" s="1"/>
  <c r="J29" i="4" a="1"/>
  <c r="J29" i="4" s="1"/>
  <c r="K29" i="4" a="1"/>
  <c r="K29" i="4" s="1"/>
  <c r="B16" i="4"/>
  <c r="B25" i="4"/>
  <c r="B48" i="4" s="1"/>
  <c r="C25" i="4"/>
  <c r="C48" i="4" s="1"/>
  <c r="F25" i="4" a="1"/>
  <c r="F25" i="4" s="1"/>
  <c r="F48" i="4" s="1"/>
  <c r="G25" i="4" a="1"/>
  <c r="G25" i="4" s="1"/>
  <c r="G48" i="4" s="1"/>
  <c r="H25" i="4" a="1"/>
  <c r="H25" i="4" s="1"/>
  <c r="H48" i="4" s="1"/>
  <c r="I25" i="4" a="1"/>
  <c r="I25" i="4" s="1"/>
  <c r="I48" i="4" s="1"/>
  <c r="J25" i="4" a="1"/>
  <c r="J25" i="4" s="1"/>
  <c r="J48" i="4" s="1"/>
  <c r="K25" i="4" a="1"/>
  <c r="K25" i="4" s="1"/>
  <c r="K48" i="4" s="1"/>
  <c r="B21" i="4"/>
  <c r="C21" i="4"/>
  <c r="F21" i="4"/>
  <c r="G21" i="4"/>
  <c r="H21" i="4" a="1"/>
  <c r="H21" i="4" s="1"/>
  <c r="I21" i="4" a="1"/>
  <c r="I21" i="4" s="1"/>
  <c r="J21" i="4" a="1"/>
  <c r="J21" i="4" s="1"/>
  <c r="K21" i="4" a="1"/>
  <c r="K21" i="4" s="1"/>
  <c r="B20" i="4"/>
  <c r="C20" i="4"/>
  <c r="F20" i="4"/>
  <c r="G20" i="4"/>
  <c r="H20" i="4" a="1"/>
  <c r="H20" i="4" s="1"/>
  <c r="I20" i="4" a="1"/>
  <c r="I20" i="4" s="1"/>
  <c r="J20" i="4" a="1"/>
  <c r="J20" i="4" s="1"/>
  <c r="K20" i="4" a="1"/>
  <c r="K20" i="4" s="1"/>
  <c r="C16" i="4"/>
  <c r="C38" i="4" s="1"/>
  <c r="F16" i="4" a="1"/>
  <c r="F16" i="4" s="1"/>
  <c r="F47" i="4" s="1"/>
  <c r="G16" i="4" a="1"/>
  <c r="G16" i="4" s="1"/>
  <c r="G47" i="4" s="1"/>
  <c r="H16" i="4" a="1"/>
  <c r="H16" i="4" s="1"/>
  <c r="H47" i="4" s="1"/>
  <c r="I16" i="4" a="1"/>
  <c r="I16" i="4" s="1"/>
  <c r="I47" i="4" s="1"/>
  <c r="J16" i="4" a="1"/>
  <c r="J16" i="4" s="1"/>
  <c r="K16" i="4" a="1"/>
  <c r="K16" i="4" s="1"/>
  <c r="B12" i="4"/>
  <c r="C12" i="4"/>
  <c r="F12" i="4"/>
  <c r="G12" i="4"/>
  <c r="H12" i="4" a="1"/>
  <c r="H12" i="4" s="1"/>
  <c r="I12" i="4" a="1"/>
  <c r="I12" i="4" s="1"/>
  <c r="J12" i="4" a="1"/>
  <c r="J12" i="4" s="1"/>
  <c r="K12" i="4" a="1"/>
  <c r="K12" i="4" s="1"/>
  <c r="B11" i="4"/>
  <c r="C11" i="4"/>
  <c r="F11" i="4"/>
  <c r="G11" i="4"/>
  <c r="H11" i="4" a="1"/>
  <c r="H11" i="4" s="1"/>
  <c r="I11" i="4" a="1"/>
  <c r="I11" i="4" s="1"/>
  <c r="J11" i="4" a="1"/>
  <c r="J11" i="4" s="1"/>
  <c r="K11" i="4" a="1"/>
  <c r="K11" i="4" s="1"/>
  <c r="B10" i="4"/>
  <c r="C10" i="4"/>
  <c r="D10" i="4" s="1"/>
  <c r="F10" i="4"/>
  <c r="G10" i="4"/>
  <c r="H10" i="4" a="1"/>
  <c r="H10" i="4" s="1"/>
  <c r="I10" i="4" a="1"/>
  <c r="I10" i="4" s="1"/>
  <c r="J10" i="4" a="1"/>
  <c r="J10" i="4" s="1"/>
  <c r="K10" i="4" a="1"/>
  <c r="K10" i="4" s="1"/>
  <c r="B9" i="4"/>
  <c r="C9" i="4"/>
  <c r="E9" i="4" s="1"/>
  <c r="F9" i="4"/>
  <c r="G9" i="4"/>
  <c r="H9" i="4" a="1"/>
  <c r="H9" i="4" s="1"/>
  <c r="I9" i="4" a="1"/>
  <c r="I9" i="4" s="1"/>
  <c r="J9" i="4" a="1"/>
  <c r="J9" i="4" s="1"/>
  <c r="K9" i="4" a="1"/>
  <c r="K9" i="4" s="1"/>
  <c r="B8" i="4"/>
  <c r="C8" i="4"/>
  <c r="D8" i="4" s="1"/>
  <c r="E8" i="4"/>
  <c r="F8" i="4"/>
  <c r="G8" i="4"/>
  <c r="H8" i="4" a="1"/>
  <c r="H8" i="4" s="1"/>
  <c r="I8" i="4" a="1"/>
  <c r="I8" i="4" s="1"/>
  <c r="J8" i="4" a="1"/>
  <c r="J8" i="4" s="1"/>
  <c r="K8" i="4" a="1"/>
  <c r="K8" i="4" s="1"/>
  <c r="B7" i="4"/>
  <c r="C7" i="4"/>
  <c r="D7" i="4" s="1"/>
  <c r="F7" i="4"/>
  <c r="G7" i="4"/>
  <c r="H7" i="4" a="1"/>
  <c r="H7" i="4" s="1"/>
  <c r="I7" i="4" a="1"/>
  <c r="I7" i="4" s="1"/>
  <c r="J7" i="4" a="1"/>
  <c r="J7" i="4" s="1"/>
  <c r="K7" i="4" a="1"/>
  <c r="K7" i="4" s="1"/>
  <c r="B6" i="4"/>
  <c r="C6" i="4"/>
  <c r="D6" i="4" s="1"/>
  <c r="F6" i="4"/>
  <c r="G6" i="4"/>
  <c r="H6" i="4" a="1"/>
  <c r="H6" i="4" s="1"/>
  <c r="I6" i="4" a="1"/>
  <c r="I6" i="4" s="1"/>
  <c r="J6" i="4" a="1"/>
  <c r="J6" i="4" s="1"/>
  <c r="K6" i="4" a="1"/>
  <c r="K6" i="4" s="1"/>
  <c r="B5" i="4"/>
  <c r="C5" i="4"/>
  <c r="D5" i="4" s="1"/>
  <c r="F5" i="4"/>
  <c r="G5" i="4"/>
  <c r="H5" i="4" a="1"/>
  <c r="H5" i="4" s="1"/>
  <c r="I5" i="4" a="1"/>
  <c r="I5" i="4" s="1"/>
  <c r="J5" i="4" a="1"/>
  <c r="J5" i="4" s="1"/>
  <c r="K5" i="4" a="1"/>
  <c r="K5" i="4" s="1"/>
  <c r="B4" i="4"/>
  <c r="C4" i="4"/>
  <c r="D4" i="4" s="1"/>
  <c r="F4" i="4"/>
  <c r="G4" i="4"/>
  <c r="H4" i="4" a="1"/>
  <c r="H4" i="4" s="1"/>
  <c r="I4" i="4" a="1"/>
  <c r="I4" i="4" s="1"/>
  <c r="J4" i="4" a="1"/>
  <c r="J4" i="4" s="1"/>
  <c r="K4" i="4" a="1"/>
  <c r="K4" i="4" s="1"/>
  <c r="B3" i="4"/>
  <c r="C3" i="4"/>
  <c r="D3" i="4" s="1"/>
  <c r="F3" i="4"/>
  <c r="G3" i="4"/>
  <c r="H3" i="4" a="1"/>
  <c r="H3" i="4" s="1"/>
  <c r="I3" i="4" a="1"/>
  <c r="I3" i="4" s="1"/>
  <c r="J3" i="4" a="1"/>
  <c r="J3" i="4" s="1"/>
  <c r="K3" i="4" a="1"/>
  <c r="K3" i="4" s="1"/>
  <c r="T151" i="2"/>
  <c r="T152" i="2"/>
  <c r="B38" i="4" l="1"/>
  <c r="J38" i="4"/>
  <c r="D38" i="4"/>
  <c r="E29" i="4"/>
  <c r="K38" i="4"/>
  <c r="E38" i="4"/>
  <c r="K47" i="4"/>
  <c r="C47" i="4"/>
  <c r="J47" i="4"/>
  <c r="B47" i="4"/>
  <c r="D30" i="4"/>
  <c r="E30" i="4"/>
  <c r="D29" i="4"/>
  <c r="E11" i="4"/>
  <c r="E21" i="4"/>
  <c r="D25" i="4"/>
  <c r="D48" i="4" s="1"/>
  <c r="E4" i="4"/>
  <c r="D21" i="4"/>
  <c r="E12" i="4"/>
  <c r="E20" i="4"/>
  <c r="E5" i="4"/>
  <c r="D11" i="4"/>
  <c r="D12" i="4"/>
  <c r="D16" i="4"/>
  <c r="D47" i="4" s="1"/>
  <c r="D20" i="4"/>
  <c r="E3" i="4"/>
  <c r="E6" i="4"/>
  <c r="E7" i="4"/>
  <c r="E10" i="4"/>
  <c r="D9" i="4"/>
  <c r="E25" i="4"/>
  <c r="E48" i="4" s="1"/>
  <c r="E16" i="4"/>
  <c r="E4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<sst xmlns="http://schemas.openxmlformats.org/spreadsheetml/2006/main" count="1129" uniqueCount="54">
  <si>
    <t>light_percent</t>
  </si>
  <si>
    <t>trial</t>
  </si>
  <si>
    <t>scene</t>
  </si>
  <si>
    <t>x_m</t>
  </si>
  <si>
    <t>y_m</t>
  </si>
  <si>
    <t>detection</t>
  </si>
  <si>
    <t>confidence</t>
  </si>
  <si>
    <t>pixel_u</t>
  </si>
  <si>
    <t>pixel_v</t>
  </si>
  <si>
    <t>depth_surface_m</t>
  </si>
  <si>
    <t>depth_center_m</t>
  </si>
  <si>
    <t>estimated_ground_m</t>
  </si>
  <si>
    <t>estimated_forward_m</t>
  </si>
  <si>
    <t>estimated_lateral_m</t>
  </si>
  <si>
    <t>ground_truth_m</t>
  </si>
  <si>
    <t>error_m</t>
  </si>
  <si>
    <t>error_pct</t>
  </si>
  <si>
    <t>light_longitudinal</t>
  </si>
  <si>
    <t>bottle</t>
  </si>
  <si>
    <t>light_lateral</t>
  </si>
  <si>
    <t>longitudinal_extreme</t>
  </si>
  <si>
    <t>lateral_extreme</t>
  </si>
  <si>
    <t>clutter_longitudinal</t>
  </si>
  <si>
    <t>clutter_lateral</t>
  </si>
  <si>
    <t>LIGHTING ROBUSTNESS (by brightness level)</t>
  </si>
  <si>
    <t>Group</t>
  </si>
  <si>
    <t>Trials</t>
  </si>
  <si>
    <t>Detections</t>
  </si>
  <si>
    <t>Det Rate</t>
  </si>
  <si>
    <t>Misses</t>
  </si>
  <si>
    <t>Mean Conf</t>
  </si>
  <si>
    <t>MAE (m)</t>
  </si>
  <si>
    <t>Median Err (m)</t>
  </si>
  <si>
    <t>Min Err (m)</t>
  </si>
  <si>
    <t>Max Err (m)</t>
  </si>
  <si>
    <t>BASELINE ACCURACY (by sweep type)</t>
  </si>
  <si>
    <t>BASELINE OVERALL</t>
  </si>
  <si>
    <t>CLUTTER OVERALL</t>
  </si>
  <si>
    <t>GRAND TOTAL</t>
  </si>
  <si>
    <t>LIGHTING OVERALL</t>
  </si>
  <si>
    <t>clutter_lateral_4m</t>
  </si>
  <si>
    <t>clutter_lateral_3m</t>
  </si>
  <si>
    <t>clutter_lateral_2m</t>
  </si>
  <si>
    <t>clutter_far_center</t>
  </si>
  <si>
    <t>clutter_mid_center</t>
  </si>
  <si>
    <t>clutter_close_center</t>
  </si>
  <si>
    <t>ALL TESTS</t>
  </si>
  <si>
    <t>Baseline Overall</t>
  </si>
  <si>
    <t>Mean Err (m)</t>
  </si>
  <si>
    <t>Lighting Overall</t>
  </si>
  <si>
    <t>All Clutter</t>
  </si>
  <si>
    <t xml:space="preserve"> OVERALL</t>
  </si>
  <si>
    <t>CLUTTER ORIGINAL (41 trials)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</si>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</sst>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5" fillId="6" borderId="0" xfId="0" applyFont="1" applyFill="1" applyAlignment="1">
      <alignment horizontal="center"/>
    </xf>
    <xf numFmtId="1" fontId="5" fillId="6" borderId="0" xfId="0" applyNumberFormat="1" applyFont="1" applyFill="1" applyAlignment="1">
      <alignment horizontal="center"/>
    </xf>
    <xf numFmtId="164" fontId="5" fillId="6" borderId="0" xfId="0" applyNumberFormat="1" applyFont="1" applyFill="1" applyAlignment="1">
      <alignment horizontal="center"/>
    </xf>
    <xf numFmtId="165" fontId="5" fillId="6" borderId="0" xfId="0" applyNumberFormat="1" applyFont="1" applyFill="1" applyAlignment="1">
      <alignment horizontal="center"/>
    </xf>
    <xf numFmtId="0" fontId="4" fillId="5" borderId="3" xfId="0" applyFont="1" applyFill="1" applyBorder="1" applyAlignment="1">
      <alignment horizontal="left"/>
    </xf>
    <xf numFmtId="1" fontId="4" fillId="5" borderId="3" xfId="0" applyNumberFormat="1" applyFont="1" applyFill="1" applyBorder="1" applyAlignment="1">
      <alignment horizontal="left"/>
    </xf>
    <xf numFmtId="164" fontId="4" fillId="5" borderId="3" xfId="0" applyNumberFormat="1" applyFont="1" applyFill="1" applyBorder="1" applyAlignment="1">
      <alignment horizontal="left"/>
    </xf>
    <xf numFmtId="165" fontId="4" fillId="5" borderId="3" xfId="0" applyNumberFormat="1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1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1" fontId="3" fillId="0" borderId="3" xfId="0" applyNumberFormat="1" applyFont="1" applyBorder="1" applyAlignment="1">
      <alignment horizontal="right"/>
    </xf>
    <xf numFmtId="164" fontId="3" fillId="0" borderId="3" xfId="0" applyNumberFormat="1" applyFont="1" applyBorder="1" applyAlignment="1">
      <alignment horizontal="right"/>
    </xf>
    <xf numFmtId="165" fontId="3" fillId="0" borderId="3" xfId="0" applyNumberFormat="1" applyFont="1" applyBorder="1" applyAlignment="1">
      <alignment horizontal="right"/>
    </xf>
    <xf numFmtId="0" fontId="6" fillId="0" borderId="3" xfId="0" applyFont="1" applyBorder="1" applyAlignment="1">
      <alignment horizontal="left"/>
    </xf>
    <xf numFmtId="1" fontId="6" fillId="0" borderId="3" xfId="0" applyNumberFormat="1" applyFont="1" applyBorder="1" applyAlignment="1">
      <alignment horizontal="right"/>
    </xf>
    <xf numFmtId="164" fontId="6" fillId="0" borderId="3" xfId="0" applyNumberFormat="1" applyFont="1" applyBorder="1" applyAlignment="1">
      <alignment horizontal="right"/>
    </xf>
    <xf numFmtId="165" fontId="6" fillId="0" borderId="3" xfId="0" applyNumberFormat="1" applyFont="1" applyBorder="1" applyAlignment="1">
      <alignment horizontal="right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  <wetp:taskpane dockstate="right" visibility="0" width="525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D2E2ACF-62AD-411A-B077-46EFA9DB2A1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4eca7a6-d8ac-4ed8-835f-cd92da8db65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0795098-A130-4D6E-8578-9B1E5F01A1CC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3"/>
  <sheetViews>
    <sheetView tabSelected="1" workbookViewId="0">
      <pane ySplit="1" topLeftCell="A329" activePane="bottomLeft" state="frozen"/>
      <selection pane="bottomLeft" activeCell="P270" sqref="P270"/>
    </sheetView>
  </sheetViews>
  <sheetFormatPr defaultRowHeight="14.5" x14ac:dyDescent="0.35"/>
  <cols>
    <col min="1" max="1" width="15" customWidth="1"/>
    <col min="2" max="2" width="8" customWidth="1"/>
    <col min="3" max="3" width="20" customWidth="1"/>
    <col min="4" max="4" width="8" customWidth="1"/>
    <col min="5" max="5" width="9" customWidth="1"/>
    <col min="6" max="6" width="11" customWidth="1"/>
    <col min="7" max="7" width="12" customWidth="1"/>
    <col min="8" max="9" width="9" customWidth="1"/>
    <col min="10" max="10" width="17" customWidth="1"/>
    <col min="11" max="11" width="16" customWidth="1"/>
    <col min="12" max="12" width="20" customWidth="1"/>
    <col min="13" max="14" width="21" customWidth="1"/>
    <col min="15" max="15" width="16" customWidth="1"/>
    <col min="16" max="16" width="9" customWidth="1"/>
    <col min="17" max="17" width="1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100</v>
      </c>
      <c r="B2" s="2">
        <v>1</v>
      </c>
      <c r="C2" s="2" t="s">
        <v>17</v>
      </c>
      <c r="D2" s="2">
        <v>1</v>
      </c>
      <c r="E2" s="2">
        <v>0</v>
      </c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35">
      <c r="A3" s="2">
        <v>100</v>
      </c>
      <c r="B3" s="2">
        <v>2</v>
      </c>
      <c r="C3" s="2" t="s">
        <v>17</v>
      </c>
      <c r="D3" s="2">
        <v>1.2632000000000001</v>
      </c>
      <c r="E3" s="2">
        <v>0</v>
      </c>
      <c r="F3" s="4" t="s">
        <v>18</v>
      </c>
      <c r="G3" s="2">
        <v>0.87</v>
      </c>
      <c r="H3" s="2">
        <v>640</v>
      </c>
      <c r="I3" s="2">
        <v>395</v>
      </c>
      <c r="J3" s="2">
        <v>0.99299999999999999</v>
      </c>
      <c r="K3" s="2">
        <v>1.0680000000000001</v>
      </c>
      <c r="L3" s="2">
        <v>1.0009999999999999</v>
      </c>
      <c r="M3" s="2"/>
      <c r="N3" s="2"/>
      <c r="O3" s="2">
        <v>1</v>
      </c>
      <c r="P3" s="2">
        <v>1E-3</v>
      </c>
      <c r="Q3" s="2">
        <v>0.1</v>
      </c>
    </row>
    <row r="4" spans="1:17" x14ac:dyDescent="0.35">
      <c r="A4" s="2">
        <v>100</v>
      </c>
      <c r="B4" s="2">
        <v>3</v>
      </c>
      <c r="C4" s="2" t="s">
        <v>17</v>
      </c>
      <c r="D4" s="2">
        <v>1.5263</v>
      </c>
      <c r="E4" s="2">
        <v>0</v>
      </c>
      <c r="F4" s="4" t="s">
        <v>18</v>
      </c>
      <c r="G4" s="2">
        <v>0.9</v>
      </c>
      <c r="H4" s="2">
        <v>640</v>
      </c>
      <c r="I4" s="2">
        <v>341</v>
      </c>
      <c r="J4" s="2">
        <v>1.242</v>
      </c>
      <c r="K4" s="2">
        <v>1.3169999999999999</v>
      </c>
      <c r="L4" s="2">
        <v>1.2470000000000001</v>
      </c>
      <c r="M4" s="2">
        <v>1.2470000000000001</v>
      </c>
      <c r="N4" s="2">
        <v>0</v>
      </c>
      <c r="O4" s="2">
        <v>1</v>
      </c>
      <c r="P4" s="2">
        <v>0.247</v>
      </c>
      <c r="Q4" s="2">
        <v>24.7</v>
      </c>
    </row>
    <row r="5" spans="1:17" x14ac:dyDescent="0.35">
      <c r="A5" s="2">
        <v>100</v>
      </c>
      <c r="B5" s="2">
        <v>4</v>
      </c>
      <c r="C5" s="2" t="s">
        <v>17</v>
      </c>
      <c r="D5" s="2">
        <v>1.7895000000000001</v>
      </c>
      <c r="E5" s="2">
        <v>0</v>
      </c>
      <c r="F5" s="4" t="s">
        <v>18</v>
      </c>
      <c r="G5" s="2">
        <v>0.88</v>
      </c>
      <c r="H5" s="2">
        <v>639</v>
      </c>
      <c r="I5" s="2">
        <v>278</v>
      </c>
      <c r="J5" s="2">
        <v>1.738</v>
      </c>
      <c r="K5" s="2">
        <v>1.8129999999999999</v>
      </c>
      <c r="L5" s="2">
        <v>1.776</v>
      </c>
      <c r="M5" s="2">
        <v>1.776</v>
      </c>
      <c r="N5" s="2">
        <v>3.0000000000000001E-3</v>
      </c>
      <c r="O5" s="2">
        <v>1.79</v>
      </c>
      <c r="P5" s="2">
        <v>-1.2999999999999999E-2</v>
      </c>
      <c r="Q5" s="2">
        <v>-0.7</v>
      </c>
    </row>
    <row r="6" spans="1:17" x14ac:dyDescent="0.35">
      <c r="A6" s="2">
        <v>100</v>
      </c>
      <c r="B6" s="2">
        <v>5</v>
      </c>
      <c r="C6" s="2" t="s">
        <v>17</v>
      </c>
      <c r="D6" s="2">
        <v>2.0526</v>
      </c>
      <c r="E6" s="2">
        <v>0</v>
      </c>
      <c r="F6" s="4" t="s">
        <v>18</v>
      </c>
      <c r="G6" s="2">
        <v>0.88</v>
      </c>
      <c r="H6" s="2">
        <v>639</v>
      </c>
      <c r="I6" s="2">
        <v>278</v>
      </c>
      <c r="J6" s="2">
        <v>1.738</v>
      </c>
      <c r="K6" s="2">
        <v>1.8129999999999999</v>
      </c>
      <c r="L6" s="2">
        <v>1.776</v>
      </c>
      <c r="M6" s="2">
        <v>1.776</v>
      </c>
      <c r="N6" s="2">
        <v>3.0000000000000001E-3</v>
      </c>
      <c r="O6" s="2">
        <v>1.79</v>
      </c>
      <c r="P6" s="2">
        <v>-1.2999999999999999E-2</v>
      </c>
      <c r="Q6" s="2">
        <v>-0.7</v>
      </c>
    </row>
    <row r="7" spans="1:17" x14ac:dyDescent="0.35">
      <c r="A7" s="2">
        <v>100</v>
      </c>
      <c r="B7" s="2">
        <v>6</v>
      </c>
      <c r="C7" s="2" t="s">
        <v>17</v>
      </c>
      <c r="D7" s="2">
        <v>2.3157999999999999</v>
      </c>
      <c r="E7" s="2">
        <v>0</v>
      </c>
      <c r="F7" s="4" t="s">
        <v>18</v>
      </c>
      <c r="G7" s="2">
        <v>0.86</v>
      </c>
      <c r="H7" s="2">
        <v>639</v>
      </c>
      <c r="I7" s="2">
        <v>257</v>
      </c>
      <c r="J7" s="2">
        <v>1.984</v>
      </c>
      <c r="K7" s="2">
        <v>2.0590000000000002</v>
      </c>
      <c r="L7" s="2">
        <v>2.04</v>
      </c>
      <c r="M7" s="2">
        <v>2.04</v>
      </c>
      <c r="N7" s="2">
        <v>3.0000000000000001E-3</v>
      </c>
      <c r="O7" s="2">
        <v>1.79</v>
      </c>
      <c r="P7" s="2">
        <v>0.251</v>
      </c>
      <c r="Q7" s="2">
        <v>14</v>
      </c>
    </row>
    <row r="8" spans="1:17" x14ac:dyDescent="0.35">
      <c r="A8" s="2">
        <v>100</v>
      </c>
      <c r="B8" s="2">
        <v>7</v>
      </c>
      <c r="C8" s="2" t="s">
        <v>17</v>
      </c>
      <c r="D8" s="2">
        <v>2.5789</v>
      </c>
      <c r="E8" s="2">
        <v>0</v>
      </c>
      <c r="F8" s="4" t="s">
        <v>18</v>
      </c>
      <c r="G8" s="2">
        <v>0.31</v>
      </c>
      <c r="H8" s="2">
        <v>640</v>
      </c>
      <c r="I8" s="2">
        <v>241</v>
      </c>
      <c r="J8" s="2">
        <v>2.2320000000000002</v>
      </c>
      <c r="K8" s="2">
        <v>2.3069999999999999</v>
      </c>
      <c r="L8" s="2">
        <v>2.3039999999999998</v>
      </c>
      <c r="M8" s="2">
        <v>2.3039999999999998</v>
      </c>
      <c r="N8" s="2">
        <v>0</v>
      </c>
      <c r="O8" s="2">
        <v>2.3159999999999998</v>
      </c>
      <c r="P8" s="2">
        <v>-1.2E-2</v>
      </c>
      <c r="Q8" s="2">
        <v>-0.5</v>
      </c>
    </row>
    <row r="9" spans="1:17" x14ac:dyDescent="0.35">
      <c r="A9" s="2">
        <v>100</v>
      </c>
      <c r="B9" s="2">
        <v>8</v>
      </c>
      <c r="C9" s="2" t="s">
        <v>17</v>
      </c>
      <c r="D9" s="2">
        <v>2.8420999999999998</v>
      </c>
      <c r="E9" s="2">
        <v>0</v>
      </c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35">
      <c r="A10" s="2">
        <v>100</v>
      </c>
      <c r="B10" s="2">
        <v>9</v>
      </c>
      <c r="C10" s="2" t="s">
        <v>17</v>
      </c>
      <c r="D10" s="2">
        <v>3.1053000000000002</v>
      </c>
      <c r="E10" s="2">
        <v>0</v>
      </c>
      <c r="F10" s="4" t="s">
        <v>18</v>
      </c>
      <c r="G10" s="2">
        <v>0.63</v>
      </c>
      <c r="H10" s="2">
        <v>640</v>
      </c>
      <c r="I10" s="2">
        <v>218</v>
      </c>
      <c r="J10" s="2">
        <v>2.726</v>
      </c>
      <c r="K10" s="2">
        <v>2.8010000000000002</v>
      </c>
      <c r="L10" s="2">
        <v>2.8319999999999999</v>
      </c>
      <c r="M10" s="2">
        <v>2.8319999999999999</v>
      </c>
      <c r="N10" s="2">
        <v>0</v>
      </c>
      <c r="O10" s="2">
        <v>2.8420000000000001</v>
      </c>
      <c r="P10" s="2">
        <v>-0.01</v>
      </c>
      <c r="Q10" s="2">
        <v>-0.4</v>
      </c>
    </row>
    <row r="11" spans="1:17" x14ac:dyDescent="0.35">
      <c r="A11" s="2">
        <v>100</v>
      </c>
      <c r="B11" s="2">
        <v>10</v>
      </c>
      <c r="C11" s="2" t="s">
        <v>17</v>
      </c>
      <c r="D11" s="2">
        <v>3.3683999999999998</v>
      </c>
      <c r="E11" s="2">
        <v>0</v>
      </c>
      <c r="F11" s="4" t="s">
        <v>18</v>
      </c>
      <c r="G11" s="2">
        <v>0.19</v>
      </c>
      <c r="H11" s="2">
        <v>640</v>
      </c>
      <c r="I11" s="2">
        <v>209</v>
      </c>
      <c r="J11" s="2">
        <v>2.9729999999999999</v>
      </c>
      <c r="K11" s="2">
        <v>3.048</v>
      </c>
      <c r="L11" s="2">
        <v>3.0950000000000002</v>
      </c>
      <c r="M11" s="2">
        <v>3.0950000000000002</v>
      </c>
      <c r="N11" s="2">
        <v>0</v>
      </c>
      <c r="O11" s="2">
        <v>3.105</v>
      </c>
      <c r="P11" s="2">
        <v>-0.01</v>
      </c>
      <c r="Q11" s="2">
        <v>-0.3</v>
      </c>
    </row>
    <row r="12" spans="1:17" x14ac:dyDescent="0.35">
      <c r="A12" s="2">
        <v>100</v>
      </c>
      <c r="B12" s="2">
        <v>11</v>
      </c>
      <c r="C12" s="2" t="s">
        <v>17</v>
      </c>
      <c r="D12" s="2">
        <v>3.6316000000000002</v>
      </c>
      <c r="E12" s="2">
        <v>0</v>
      </c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35">
      <c r="A13" s="2">
        <v>100</v>
      </c>
      <c r="B13" s="2">
        <v>12</v>
      </c>
      <c r="C13" s="2" t="s">
        <v>17</v>
      </c>
      <c r="D13" s="2">
        <v>3.8946999999999998</v>
      </c>
      <c r="E13" s="2">
        <v>0</v>
      </c>
      <c r="F13" s="4" t="s">
        <v>18</v>
      </c>
      <c r="G13" s="2">
        <v>0.73</v>
      </c>
      <c r="H13" s="2">
        <v>640</v>
      </c>
      <c r="I13" s="2">
        <v>194</v>
      </c>
      <c r="J13" s="2">
        <v>3.4649999999999999</v>
      </c>
      <c r="K13" s="2">
        <v>3.54</v>
      </c>
      <c r="L13" s="2">
        <v>3.6219999999999999</v>
      </c>
      <c r="M13" s="2">
        <v>3.6219999999999999</v>
      </c>
      <c r="N13" s="2">
        <v>0</v>
      </c>
      <c r="O13" s="2">
        <v>3.6320000000000001</v>
      </c>
      <c r="P13" s="2">
        <v>-8.9999999999999993E-3</v>
      </c>
      <c r="Q13" s="2">
        <v>-0.3</v>
      </c>
    </row>
    <row r="14" spans="1:17" x14ac:dyDescent="0.35">
      <c r="A14" s="2">
        <v>100</v>
      </c>
      <c r="B14" s="2">
        <v>13</v>
      </c>
      <c r="C14" s="2" t="s">
        <v>17</v>
      </c>
      <c r="D14" s="2">
        <v>4.1578999999999997</v>
      </c>
      <c r="E14" s="2">
        <v>0</v>
      </c>
      <c r="F14" s="4" t="s">
        <v>18</v>
      </c>
      <c r="G14" s="2">
        <v>0.76</v>
      </c>
      <c r="H14" s="2">
        <v>641</v>
      </c>
      <c r="I14" s="2">
        <v>185</v>
      </c>
      <c r="J14" s="2">
        <v>3.9620000000000002</v>
      </c>
      <c r="K14" s="2">
        <v>4.0369999999999999</v>
      </c>
      <c r="L14" s="2">
        <v>4.1500000000000004</v>
      </c>
      <c r="M14" s="2">
        <v>4.1500000000000004</v>
      </c>
      <c r="N14" s="2">
        <v>-6.0000000000000001E-3</v>
      </c>
      <c r="O14" s="2">
        <v>4.1580000000000004</v>
      </c>
      <c r="P14" s="2">
        <v>-8.0000000000000002E-3</v>
      </c>
      <c r="Q14" s="2">
        <v>-0.2</v>
      </c>
    </row>
    <row r="15" spans="1:17" x14ac:dyDescent="0.35">
      <c r="A15" s="2">
        <v>100</v>
      </c>
      <c r="B15" s="2">
        <v>14</v>
      </c>
      <c r="C15" s="2" t="s">
        <v>17</v>
      </c>
      <c r="D15" s="2">
        <v>4.4211</v>
      </c>
      <c r="E15" s="2">
        <v>0</v>
      </c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35">
      <c r="A16" s="2">
        <v>100</v>
      </c>
      <c r="B16" s="2">
        <v>15</v>
      </c>
      <c r="C16" s="2" t="s">
        <v>17</v>
      </c>
      <c r="D16" s="2">
        <v>4.6841999999999997</v>
      </c>
      <c r="E16" s="2">
        <v>0</v>
      </c>
      <c r="F16" s="4" t="s">
        <v>18</v>
      </c>
      <c r="G16" s="2">
        <v>0.65</v>
      </c>
      <c r="H16" s="2">
        <v>640</v>
      </c>
      <c r="I16" s="2">
        <v>180</v>
      </c>
      <c r="J16" s="2">
        <v>4.2069999999999999</v>
      </c>
      <c r="K16" s="2">
        <v>4.282</v>
      </c>
      <c r="L16" s="2">
        <v>4.4130000000000003</v>
      </c>
      <c r="M16" s="2">
        <v>4.4130000000000003</v>
      </c>
      <c r="N16" s="2">
        <v>0</v>
      </c>
      <c r="O16" s="2">
        <v>4.6840000000000002</v>
      </c>
      <c r="P16" s="2">
        <v>-0.27200000000000002</v>
      </c>
      <c r="Q16" s="2">
        <v>-5.8</v>
      </c>
    </row>
    <row r="17" spans="1:17" x14ac:dyDescent="0.35">
      <c r="A17" s="2">
        <v>100</v>
      </c>
      <c r="B17" s="2">
        <v>16</v>
      </c>
      <c r="C17" s="2" t="s">
        <v>17</v>
      </c>
      <c r="D17" s="2">
        <v>4.9474</v>
      </c>
      <c r="E17" s="2">
        <v>0</v>
      </c>
      <c r="F17" s="4" t="s">
        <v>18</v>
      </c>
      <c r="G17" s="2">
        <v>0.6</v>
      </c>
      <c r="H17" s="2">
        <v>640</v>
      </c>
      <c r="I17" s="2">
        <v>174</v>
      </c>
      <c r="J17" s="2">
        <v>4.7039999999999997</v>
      </c>
      <c r="K17" s="2">
        <v>4.7789999999999999</v>
      </c>
      <c r="L17" s="2">
        <v>4.9390000000000001</v>
      </c>
      <c r="M17" s="2">
        <v>4.9390000000000001</v>
      </c>
      <c r="N17" s="2">
        <v>0</v>
      </c>
      <c r="O17" s="2">
        <v>4.9470000000000001</v>
      </c>
      <c r="P17" s="2">
        <v>-8.0000000000000002E-3</v>
      </c>
      <c r="Q17" s="2">
        <v>-0.2</v>
      </c>
    </row>
    <row r="18" spans="1:17" x14ac:dyDescent="0.35">
      <c r="A18" s="2">
        <v>100</v>
      </c>
      <c r="B18" s="2">
        <v>17</v>
      </c>
      <c r="C18" s="2" t="s">
        <v>17</v>
      </c>
      <c r="D18" s="2">
        <v>5.2104999999999997</v>
      </c>
      <c r="E18" s="2">
        <v>0</v>
      </c>
      <c r="F18" s="4" t="s">
        <v>18</v>
      </c>
      <c r="G18" s="2">
        <v>0.6</v>
      </c>
      <c r="H18" s="2">
        <v>640</v>
      </c>
      <c r="I18" s="2">
        <v>174</v>
      </c>
      <c r="J18" s="2">
        <v>4.7039999999999997</v>
      </c>
      <c r="K18" s="2">
        <v>4.7789999999999999</v>
      </c>
      <c r="L18" s="2">
        <v>4.9390000000000001</v>
      </c>
      <c r="M18" s="2">
        <v>4.9390000000000001</v>
      </c>
      <c r="N18" s="2">
        <v>0</v>
      </c>
      <c r="O18" s="2">
        <v>4.9470000000000001</v>
      </c>
      <c r="P18" s="2">
        <v>-8.0000000000000002E-3</v>
      </c>
      <c r="Q18" s="2">
        <v>-0.2</v>
      </c>
    </row>
    <row r="19" spans="1:17" x14ac:dyDescent="0.35">
      <c r="A19" s="2">
        <v>100</v>
      </c>
      <c r="B19" s="2">
        <v>18</v>
      </c>
      <c r="C19" s="2" t="s">
        <v>17</v>
      </c>
      <c r="D19" s="2">
        <v>5.4737</v>
      </c>
      <c r="E19" s="2">
        <v>0</v>
      </c>
      <c r="F19" s="4" t="s">
        <v>18</v>
      </c>
      <c r="G19" s="2">
        <v>0.59</v>
      </c>
      <c r="H19" s="2">
        <v>640</v>
      </c>
      <c r="I19" s="2">
        <v>170</v>
      </c>
      <c r="J19" s="2">
        <v>4.9489999999999998</v>
      </c>
      <c r="K19" s="2">
        <v>5.024</v>
      </c>
      <c r="L19" s="2">
        <v>5.2030000000000003</v>
      </c>
      <c r="M19" s="2">
        <v>5.2030000000000003</v>
      </c>
      <c r="N19" s="2">
        <v>0</v>
      </c>
      <c r="O19" s="2">
        <v>5.2110000000000003</v>
      </c>
      <c r="P19" s="2">
        <v>-8.0000000000000002E-3</v>
      </c>
      <c r="Q19" s="2">
        <v>-0.2</v>
      </c>
    </row>
    <row r="20" spans="1:17" x14ac:dyDescent="0.35">
      <c r="A20" s="2">
        <v>100</v>
      </c>
      <c r="B20" s="2">
        <v>19</v>
      </c>
      <c r="C20" s="2" t="s">
        <v>17</v>
      </c>
      <c r="D20" s="2">
        <v>5.7367999999999997</v>
      </c>
      <c r="E20" s="2">
        <v>0</v>
      </c>
      <c r="F20" s="4" t="s">
        <v>18</v>
      </c>
      <c r="G20" s="2">
        <v>0.19</v>
      </c>
      <c r="H20" s="2">
        <v>639</v>
      </c>
      <c r="I20" s="2">
        <v>167</v>
      </c>
      <c r="J20" s="2">
        <v>5.1950000000000003</v>
      </c>
      <c r="K20" s="2">
        <v>5.27</v>
      </c>
      <c r="L20" s="2">
        <v>5.4660000000000002</v>
      </c>
      <c r="M20" s="2">
        <v>5.4660000000000002</v>
      </c>
      <c r="N20" s="2">
        <v>8.0000000000000002E-3</v>
      </c>
      <c r="O20" s="2">
        <v>5.4740000000000002</v>
      </c>
      <c r="P20" s="2">
        <v>-8.0000000000000002E-3</v>
      </c>
      <c r="Q20" s="2">
        <v>-0.1</v>
      </c>
    </row>
    <row r="21" spans="1:17" x14ac:dyDescent="0.35">
      <c r="A21" s="2">
        <v>100</v>
      </c>
      <c r="B21" s="2">
        <v>20</v>
      </c>
      <c r="C21" s="2" t="s">
        <v>17</v>
      </c>
      <c r="D21" s="2">
        <v>6</v>
      </c>
      <c r="E21" s="2">
        <v>0</v>
      </c>
      <c r="F21" s="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35">
      <c r="A22" s="2">
        <v>100</v>
      </c>
      <c r="B22" s="2">
        <v>21</v>
      </c>
      <c r="C22" s="2" t="s">
        <v>19</v>
      </c>
      <c r="D22" s="2">
        <v>3</v>
      </c>
      <c r="E22" s="2">
        <v>-2.75</v>
      </c>
      <c r="F22" s="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35">
      <c r="A23" s="2">
        <v>100</v>
      </c>
      <c r="B23" s="2">
        <v>22</v>
      </c>
      <c r="C23" s="2" t="s">
        <v>19</v>
      </c>
      <c r="D23" s="2">
        <v>3</v>
      </c>
      <c r="E23" s="2">
        <v>-2.4605000000000001</v>
      </c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35">
      <c r="A24" s="2">
        <v>100</v>
      </c>
      <c r="B24" s="2">
        <v>23</v>
      </c>
      <c r="C24" s="2" t="s">
        <v>19</v>
      </c>
      <c r="D24" s="2">
        <v>3</v>
      </c>
      <c r="E24" s="2">
        <v>-2.1711</v>
      </c>
      <c r="F24" s="4" t="s">
        <v>18</v>
      </c>
      <c r="G24" s="2">
        <v>0.75</v>
      </c>
      <c r="H24" s="2">
        <v>1199</v>
      </c>
      <c r="I24" s="2">
        <v>211</v>
      </c>
      <c r="J24" s="2">
        <v>2.8980000000000001</v>
      </c>
      <c r="K24" s="2">
        <v>2.9729999999999999</v>
      </c>
      <c r="L24" s="2">
        <v>3.8940000000000001</v>
      </c>
      <c r="M24" s="2">
        <v>3.016</v>
      </c>
      <c r="N24" s="2">
        <v>-2.464</v>
      </c>
      <c r="O24" s="2">
        <v>3.88</v>
      </c>
      <c r="P24" s="2">
        <v>1.4E-2</v>
      </c>
      <c r="Q24" s="2">
        <v>0.4</v>
      </c>
    </row>
    <row r="25" spans="1:17" x14ac:dyDescent="0.35">
      <c r="A25" s="2">
        <v>100</v>
      </c>
      <c r="B25" s="2">
        <v>24</v>
      </c>
      <c r="C25" s="2" t="s">
        <v>19</v>
      </c>
      <c r="D25" s="2">
        <v>3</v>
      </c>
      <c r="E25" s="2">
        <v>-1.8815999999999999</v>
      </c>
      <c r="F25" s="4" t="s">
        <v>18</v>
      </c>
      <c r="G25" s="2">
        <v>0.75</v>
      </c>
      <c r="H25" s="2">
        <v>1133</v>
      </c>
      <c r="I25" s="2">
        <v>211</v>
      </c>
      <c r="J25" s="2">
        <v>2.8940000000000001</v>
      </c>
      <c r="K25" s="2">
        <v>2.9689999999999999</v>
      </c>
      <c r="L25" s="2">
        <v>3.7130000000000001</v>
      </c>
      <c r="M25" s="2">
        <v>3.012</v>
      </c>
      <c r="N25" s="2">
        <v>-2.17</v>
      </c>
      <c r="O25" s="2">
        <v>3.7029999999999998</v>
      </c>
      <c r="P25" s="2">
        <v>8.9999999999999993E-3</v>
      </c>
      <c r="Q25" s="2">
        <v>0.3</v>
      </c>
    </row>
    <row r="26" spans="1:17" x14ac:dyDescent="0.35">
      <c r="A26" s="2">
        <v>100</v>
      </c>
      <c r="B26" s="2">
        <v>25</v>
      </c>
      <c r="C26" s="2" t="s">
        <v>19</v>
      </c>
      <c r="D26" s="2">
        <v>3</v>
      </c>
      <c r="E26" s="2">
        <v>-1.5921000000000001</v>
      </c>
      <c r="F26" s="4" t="s">
        <v>18</v>
      </c>
      <c r="G26" s="2">
        <v>0.77</v>
      </c>
      <c r="H26" s="2">
        <v>1066</v>
      </c>
      <c r="I26" s="2">
        <v>212</v>
      </c>
      <c r="J26" s="2">
        <v>4.5289999999999999</v>
      </c>
      <c r="K26" s="2">
        <v>4.6040000000000001</v>
      </c>
      <c r="L26" s="2">
        <v>5.5</v>
      </c>
      <c r="M26" s="2">
        <v>4.6680000000000001</v>
      </c>
      <c r="N26" s="2">
        <v>-2.9079999999999999</v>
      </c>
      <c r="O26" s="2">
        <v>3.3959999999999999</v>
      </c>
      <c r="P26" s="2">
        <v>2.1030000000000002</v>
      </c>
      <c r="Q26" s="2">
        <v>61.9</v>
      </c>
    </row>
    <row r="27" spans="1:17" x14ac:dyDescent="0.35">
      <c r="A27" s="2">
        <v>100</v>
      </c>
      <c r="B27" s="2">
        <v>26</v>
      </c>
      <c r="C27" s="2" t="s">
        <v>19</v>
      </c>
      <c r="D27" s="2">
        <v>3</v>
      </c>
      <c r="E27" s="2">
        <v>-1.3026</v>
      </c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35">
      <c r="A28" s="2">
        <v>100</v>
      </c>
      <c r="B28" s="2">
        <v>27</v>
      </c>
      <c r="C28" s="2" t="s">
        <v>19</v>
      </c>
      <c r="D28" s="2">
        <v>3</v>
      </c>
      <c r="E28" s="2">
        <v>-1.0132000000000001</v>
      </c>
      <c r="F28" s="4" t="s">
        <v>18</v>
      </c>
      <c r="G28" s="2">
        <v>0.84</v>
      </c>
      <c r="H28" s="2">
        <v>933</v>
      </c>
      <c r="I28" s="2">
        <v>212</v>
      </c>
      <c r="J28" s="2">
        <v>2.8889999999999998</v>
      </c>
      <c r="K28" s="2">
        <v>2.964</v>
      </c>
      <c r="L28" s="2">
        <v>3.27</v>
      </c>
      <c r="M28" s="2">
        <v>3.0049999999999999</v>
      </c>
      <c r="N28" s="2">
        <v>-1.288</v>
      </c>
      <c r="O28" s="2">
        <v>3.2709999999999999</v>
      </c>
      <c r="P28" s="2">
        <v>-1E-3</v>
      </c>
      <c r="Q28" s="2">
        <v>0</v>
      </c>
    </row>
    <row r="29" spans="1:17" x14ac:dyDescent="0.35">
      <c r="A29" s="2">
        <v>100</v>
      </c>
      <c r="B29" s="2">
        <v>28</v>
      </c>
      <c r="C29" s="2" t="s">
        <v>19</v>
      </c>
      <c r="D29" s="2">
        <v>3</v>
      </c>
      <c r="E29" s="2">
        <v>-0.72370000000000001</v>
      </c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35">
      <c r="A30" s="2">
        <v>100</v>
      </c>
      <c r="B30" s="2">
        <v>29</v>
      </c>
      <c r="C30" s="2" t="s">
        <v>19</v>
      </c>
      <c r="D30" s="2">
        <v>3</v>
      </c>
      <c r="E30" s="2">
        <v>-0.43419999999999997</v>
      </c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35">
      <c r="A31" s="2">
        <v>100</v>
      </c>
      <c r="B31" s="2">
        <v>30</v>
      </c>
      <c r="C31" s="2" t="s">
        <v>19</v>
      </c>
      <c r="D31" s="2">
        <v>3</v>
      </c>
      <c r="E31" s="2">
        <v>-0.1447</v>
      </c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35">
      <c r="A32" s="2">
        <v>100</v>
      </c>
      <c r="B32" s="2">
        <v>31</v>
      </c>
      <c r="C32" s="2" t="s">
        <v>19</v>
      </c>
      <c r="D32" s="2">
        <v>3</v>
      </c>
      <c r="E32" s="2">
        <v>0.1447</v>
      </c>
      <c r="F32" s="4" t="s">
        <v>18</v>
      </c>
      <c r="G32" s="2">
        <v>0.84</v>
      </c>
      <c r="H32" s="2">
        <v>739</v>
      </c>
      <c r="I32" s="2">
        <v>212</v>
      </c>
      <c r="J32" s="2">
        <v>2.875</v>
      </c>
      <c r="K32" s="2">
        <v>2.95</v>
      </c>
      <c r="L32" s="2">
        <v>3.0219999999999998</v>
      </c>
      <c r="M32" s="2">
        <v>2.9910000000000001</v>
      </c>
      <c r="N32" s="2">
        <v>-0.433</v>
      </c>
      <c r="O32" s="2">
        <v>3.0030000000000001</v>
      </c>
      <c r="P32" s="2">
        <v>1.7999999999999999E-2</v>
      </c>
      <c r="Q32" s="2">
        <v>0.6</v>
      </c>
    </row>
    <row r="33" spans="1:17" x14ac:dyDescent="0.35">
      <c r="A33" s="2">
        <v>100</v>
      </c>
      <c r="B33" s="2">
        <v>32</v>
      </c>
      <c r="C33" s="2" t="s">
        <v>19</v>
      </c>
      <c r="D33" s="2">
        <v>3</v>
      </c>
      <c r="E33" s="2">
        <v>0.43419999999999997</v>
      </c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35">
      <c r="A34" s="2">
        <v>100</v>
      </c>
      <c r="B34" s="2">
        <v>33</v>
      </c>
      <c r="C34" s="2" t="s">
        <v>19</v>
      </c>
      <c r="D34" s="2">
        <v>3</v>
      </c>
      <c r="E34" s="2">
        <v>0.72370000000000001</v>
      </c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35">
      <c r="A35" s="2">
        <v>100</v>
      </c>
      <c r="B35" s="2">
        <v>34</v>
      </c>
      <c r="C35" s="2" t="s">
        <v>19</v>
      </c>
      <c r="D35" s="2">
        <v>3</v>
      </c>
      <c r="E35" s="2">
        <v>1.0132000000000001</v>
      </c>
      <c r="F35" s="4" t="s">
        <v>18</v>
      </c>
      <c r="G35" s="2">
        <v>0.83</v>
      </c>
      <c r="H35" s="2">
        <v>476</v>
      </c>
      <c r="I35" s="2">
        <v>212</v>
      </c>
      <c r="J35" s="2">
        <v>2.8780000000000001</v>
      </c>
      <c r="K35" s="2">
        <v>2.9529999999999998</v>
      </c>
      <c r="L35" s="2">
        <v>3.0790000000000002</v>
      </c>
      <c r="M35" s="2">
        <v>2.9940000000000002</v>
      </c>
      <c r="N35" s="2">
        <v>0.71799999999999997</v>
      </c>
      <c r="O35" s="2">
        <v>3.1659999999999999</v>
      </c>
      <c r="P35" s="2">
        <v>-8.6999999999999994E-2</v>
      </c>
      <c r="Q35" s="2">
        <v>-2.8</v>
      </c>
    </row>
    <row r="36" spans="1:17" x14ac:dyDescent="0.35">
      <c r="A36" s="2">
        <v>100</v>
      </c>
      <c r="B36" s="2">
        <v>35</v>
      </c>
      <c r="C36" s="2" t="s">
        <v>19</v>
      </c>
      <c r="D36" s="2">
        <v>3</v>
      </c>
      <c r="E36" s="2">
        <v>1.3026</v>
      </c>
      <c r="F36" s="4" t="s">
        <v>18</v>
      </c>
      <c r="G36" s="2">
        <v>0.78</v>
      </c>
      <c r="H36" s="2">
        <v>410</v>
      </c>
      <c r="I36" s="2">
        <v>212</v>
      </c>
      <c r="J36" s="2">
        <v>2.8809999999999998</v>
      </c>
      <c r="K36" s="2">
        <v>2.956</v>
      </c>
      <c r="L36" s="2">
        <v>3.1619999999999999</v>
      </c>
      <c r="M36" s="2">
        <v>2.9969999999999999</v>
      </c>
      <c r="N36" s="2">
        <v>1.008</v>
      </c>
      <c r="O36" s="2">
        <v>3.1659999999999999</v>
      </c>
      <c r="P36" s="2">
        <v>-4.0000000000000001E-3</v>
      </c>
      <c r="Q36" s="2">
        <v>-0.1</v>
      </c>
    </row>
    <row r="37" spans="1:17" x14ac:dyDescent="0.35">
      <c r="A37" s="2">
        <v>100</v>
      </c>
      <c r="B37" s="2">
        <v>36</v>
      </c>
      <c r="C37" s="2" t="s">
        <v>19</v>
      </c>
      <c r="D37" s="2">
        <v>3</v>
      </c>
      <c r="E37" s="2">
        <v>1.5921000000000001</v>
      </c>
      <c r="F37" s="4" t="s">
        <v>18</v>
      </c>
      <c r="G37" s="2">
        <v>0.83</v>
      </c>
      <c r="H37" s="2">
        <v>344</v>
      </c>
      <c r="I37" s="2">
        <v>212</v>
      </c>
      <c r="J37" s="2">
        <v>2.8839999999999999</v>
      </c>
      <c r="K37" s="2">
        <v>2.9590000000000001</v>
      </c>
      <c r="L37" s="2">
        <v>3.27</v>
      </c>
      <c r="M37" s="2">
        <v>3.0009999999999999</v>
      </c>
      <c r="N37" s="2">
        <v>1.2989999999999999</v>
      </c>
      <c r="O37" s="2">
        <v>3.3959999999999999</v>
      </c>
      <c r="P37" s="2">
        <v>-0.127</v>
      </c>
      <c r="Q37" s="2">
        <v>-3.7</v>
      </c>
    </row>
    <row r="38" spans="1:17" x14ac:dyDescent="0.35">
      <c r="A38" s="2">
        <v>100</v>
      </c>
      <c r="B38" s="2">
        <v>37</v>
      </c>
      <c r="C38" s="2" t="s">
        <v>19</v>
      </c>
      <c r="D38" s="2">
        <v>3</v>
      </c>
      <c r="E38" s="2">
        <v>1.8815999999999999</v>
      </c>
      <c r="F38" s="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35">
      <c r="A39" s="2">
        <v>100</v>
      </c>
      <c r="B39" s="2">
        <v>38</v>
      </c>
      <c r="C39" s="2" t="s">
        <v>19</v>
      </c>
      <c r="D39" s="2">
        <v>3</v>
      </c>
      <c r="E39" s="2">
        <v>2.1711</v>
      </c>
      <c r="F39" s="4" t="s">
        <v>18</v>
      </c>
      <c r="G39" s="2">
        <v>0.81</v>
      </c>
      <c r="H39" s="2">
        <v>211</v>
      </c>
      <c r="I39" s="2">
        <v>211</v>
      </c>
      <c r="J39" s="2">
        <v>2.8879999999999999</v>
      </c>
      <c r="K39" s="2">
        <v>2.9630000000000001</v>
      </c>
      <c r="L39" s="2">
        <v>3.548</v>
      </c>
      <c r="M39" s="2">
        <v>3.0059999999999998</v>
      </c>
      <c r="N39" s="2">
        <v>1.885</v>
      </c>
      <c r="O39" s="2">
        <v>3.7029999999999998</v>
      </c>
      <c r="P39" s="2">
        <v>-0.155</v>
      </c>
      <c r="Q39" s="2">
        <v>-4.2</v>
      </c>
    </row>
    <row r="40" spans="1:17" x14ac:dyDescent="0.35">
      <c r="A40" s="2">
        <v>100</v>
      </c>
      <c r="B40" s="2">
        <v>39</v>
      </c>
      <c r="C40" s="2" t="s">
        <v>19</v>
      </c>
      <c r="D40" s="2">
        <v>3</v>
      </c>
      <c r="E40" s="2">
        <v>2.4605000000000001</v>
      </c>
      <c r="F40" s="4" t="s">
        <v>18</v>
      </c>
      <c r="G40" s="2">
        <v>0.76</v>
      </c>
      <c r="H40" s="2">
        <v>145</v>
      </c>
      <c r="I40" s="2">
        <v>211</v>
      </c>
      <c r="J40" s="2">
        <v>2.8919999999999999</v>
      </c>
      <c r="K40" s="2">
        <v>2.9670000000000001</v>
      </c>
      <c r="L40" s="2">
        <v>3.7149999999999999</v>
      </c>
      <c r="M40" s="2">
        <v>3.01</v>
      </c>
      <c r="N40" s="2">
        <v>2.1779999999999999</v>
      </c>
      <c r="O40" s="2">
        <v>3.88</v>
      </c>
      <c r="P40" s="2">
        <v>-0.16500000000000001</v>
      </c>
      <c r="Q40" s="2">
        <v>-4.3</v>
      </c>
    </row>
    <row r="41" spans="1:17" x14ac:dyDescent="0.35">
      <c r="A41" s="2">
        <v>100</v>
      </c>
      <c r="B41" s="2">
        <v>40</v>
      </c>
      <c r="C41" s="2" t="s">
        <v>19</v>
      </c>
      <c r="D41" s="2">
        <v>3</v>
      </c>
      <c r="E41" s="2">
        <v>2.75</v>
      </c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35">
      <c r="A42" s="2">
        <v>90</v>
      </c>
      <c r="B42" s="2">
        <v>1</v>
      </c>
      <c r="C42" s="2" t="s">
        <v>17</v>
      </c>
      <c r="D42" s="2">
        <v>1</v>
      </c>
      <c r="E42" s="2">
        <v>0</v>
      </c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35">
      <c r="A43" s="2">
        <v>90</v>
      </c>
      <c r="B43" s="2">
        <v>2</v>
      </c>
      <c r="C43" s="2" t="s">
        <v>17</v>
      </c>
      <c r="D43" s="2">
        <v>1.2632000000000001</v>
      </c>
      <c r="E43" s="2">
        <v>0</v>
      </c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35">
      <c r="A44" s="2">
        <v>90</v>
      </c>
      <c r="B44" s="2">
        <v>3</v>
      </c>
      <c r="C44" s="2" t="s">
        <v>17</v>
      </c>
      <c r="D44" s="2">
        <v>1.5263</v>
      </c>
      <c r="E44" s="2">
        <v>0</v>
      </c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35">
      <c r="A45" s="2">
        <v>90</v>
      </c>
      <c r="B45" s="2">
        <v>4</v>
      </c>
      <c r="C45" s="2" t="s">
        <v>17</v>
      </c>
      <c r="D45" s="2">
        <v>1.7895000000000001</v>
      </c>
      <c r="E45" s="2">
        <v>0</v>
      </c>
      <c r="F45" s="4" t="s">
        <v>18</v>
      </c>
      <c r="G45" s="2">
        <v>0.9</v>
      </c>
      <c r="H45" s="2">
        <v>639</v>
      </c>
      <c r="I45" s="2">
        <v>303</v>
      </c>
      <c r="J45" s="2">
        <v>1.4890000000000001</v>
      </c>
      <c r="K45" s="2">
        <v>1.5640000000000001</v>
      </c>
      <c r="L45" s="2">
        <v>1.512</v>
      </c>
      <c r="M45" s="2">
        <v>1.512</v>
      </c>
      <c r="N45" s="2">
        <v>2E-3</v>
      </c>
      <c r="O45" s="2">
        <v>1.526</v>
      </c>
      <c r="P45" s="2">
        <v>-1.4E-2</v>
      </c>
      <c r="Q45" s="2">
        <v>-0.9</v>
      </c>
    </row>
    <row r="46" spans="1:17" x14ac:dyDescent="0.35">
      <c r="A46" s="2">
        <v>90</v>
      </c>
      <c r="B46" s="2">
        <v>5</v>
      </c>
      <c r="C46" s="2" t="s">
        <v>17</v>
      </c>
      <c r="D46" s="2">
        <v>2.0526</v>
      </c>
      <c r="E46" s="2">
        <v>0</v>
      </c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35">
      <c r="A47" s="2">
        <v>90</v>
      </c>
      <c r="B47" s="2">
        <v>6</v>
      </c>
      <c r="C47" s="2" t="s">
        <v>17</v>
      </c>
      <c r="D47" s="2">
        <v>2.3157999999999999</v>
      </c>
      <c r="E47" s="2">
        <v>0</v>
      </c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35">
      <c r="A48" s="2">
        <v>90</v>
      </c>
      <c r="B48" s="2">
        <v>7</v>
      </c>
      <c r="C48" s="2" t="s">
        <v>17</v>
      </c>
      <c r="D48" s="2">
        <v>2.5789</v>
      </c>
      <c r="E48" s="2">
        <v>0</v>
      </c>
      <c r="F48" s="4" t="s">
        <v>18</v>
      </c>
      <c r="G48" s="2">
        <v>0.43</v>
      </c>
      <c r="H48" s="2">
        <v>640</v>
      </c>
      <c r="I48" s="2">
        <v>241</v>
      </c>
      <c r="J48" s="2">
        <v>2.2320000000000002</v>
      </c>
      <c r="K48" s="2">
        <v>2.3069999999999999</v>
      </c>
      <c r="L48" s="2">
        <v>2.3039999999999998</v>
      </c>
      <c r="M48" s="2">
        <v>2.3039999999999998</v>
      </c>
      <c r="N48" s="2">
        <v>0</v>
      </c>
      <c r="O48" s="2">
        <v>2.3159999999999998</v>
      </c>
      <c r="P48" s="2">
        <v>-1.2E-2</v>
      </c>
      <c r="Q48" s="2">
        <v>-0.5</v>
      </c>
    </row>
    <row r="49" spans="1:17" x14ac:dyDescent="0.35">
      <c r="A49" s="2">
        <v>90</v>
      </c>
      <c r="B49" s="2">
        <v>8</v>
      </c>
      <c r="C49" s="2" t="s">
        <v>17</v>
      </c>
      <c r="D49" s="2">
        <v>2.8420999999999998</v>
      </c>
      <c r="E49" s="2">
        <v>0</v>
      </c>
      <c r="F49" s="4" t="s">
        <v>18</v>
      </c>
      <c r="G49" s="2">
        <v>0.82</v>
      </c>
      <c r="H49" s="2">
        <v>639</v>
      </c>
      <c r="I49" s="2">
        <v>228</v>
      </c>
      <c r="J49" s="2">
        <v>2.4780000000000002</v>
      </c>
      <c r="K49" s="2">
        <v>2.5529999999999999</v>
      </c>
      <c r="L49" s="2">
        <v>2.5680000000000001</v>
      </c>
      <c r="M49" s="2">
        <v>2.5680000000000001</v>
      </c>
      <c r="N49" s="2">
        <v>4.0000000000000001E-3</v>
      </c>
      <c r="O49" s="2">
        <v>2.5790000000000002</v>
      </c>
      <c r="P49" s="2">
        <v>-1.0999999999999999E-2</v>
      </c>
      <c r="Q49" s="2">
        <v>-0.4</v>
      </c>
    </row>
    <row r="50" spans="1:17" x14ac:dyDescent="0.35">
      <c r="A50" s="2">
        <v>90</v>
      </c>
      <c r="B50" s="2">
        <v>9</v>
      </c>
      <c r="C50" s="2" t="s">
        <v>17</v>
      </c>
      <c r="D50" s="2">
        <v>3.1053000000000002</v>
      </c>
      <c r="E50" s="2">
        <v>0</v>
      </c>
      <c r="F50" s="4" t="s">
        <v>18</v>
      </c>
      <c r="G50" s="2">
        <v>0.56999999999999995</v>
      </c>
      <c r="H50" s="2">
        <v>640</v>
      </c>
      <c r="I50" s="2">
        <v>218</v>
      </c>
      <c r="J50" s="2">
        <v>2.726</v>
      </c>
      <c r="K50" s="2">
        <v>2.8010000000000002</v>
      </c>
      <c r="L50" s="2">
        <v>2.8319999999999999</v>
      </c>
      <c r="M50" s="2">
        <v>2.8319999999999999</v>
      </c>
      <c r="N50" s="2">
        <v>0</v>
      </c>
      <c r="O50" s="2">
        <v>3.105</v>
      </c>
      <c r="P50" s="2">
        <v>-0.27400000000000002</v>
      </c>
      <c r="Q50" s="2">
        <v>-8.8000000000000007</v>
      </c>
    </row>
    <row r="51" spans="1:17" x14ac:dyDescent="0.35">
      <c r="A51" s="2">
        <v>90</v>
      </c>
      <c r="B51" s="2">
        <v>10</v>
      </c>
      <c r="C51" s="2" t="s">
        <v>17</v>
      </c>
      <c r="D51" s="2">
        <v>3.3683999999999998</v>
      </c>
      <c r="E51" s="2">
        <v>0</v>
      </c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35">
      <c r="A52" s="2">
        <v>90</v>
      </c>
      <c r="B52" s="2">
        <v>11</v>
      </c>
      <c r="C52" s="2" t="s">
        <v>17</v>
      </c>
      <c r="D52" s="2">
        <v>3.6316000000000002</v>
      </c>
      <c r="E52" s="2">
        <v>0</v>
      </c>
      <c r="F52" s="4" t="s">
        <v>18</v>
      </c>
      <c r="G52" s="2">
        <v>0.38</v>
      </c>
      <c r="H52" s="2">
        <v>640</v>
      </c>
      <c r="I52" s="2">
        <v>201</v>
      </c>
      <c r="J52" s="2">
        <v>3.2189999999999999</v>
      </c>
      <c r="K52" s="2">
        <v>3.294</v>
      </c>
      <c r="L52" s="2">
        <v>3.359</v>
      </c>
      <c r="M52" s="2">
        <v>3.359</v>
      </c>
      <c r="N52" s="2">
        <v>0</v>
      </c>
      <c r="O52" s="2">
        <v>3.3679999999999999</v>
      </c>
      <c r="P52" s="2">
        <v>-0.01</v>
      </c>
      <c r="Q52" s="2">
        <v>-0.3</v>
      </c>
    </row>
    <row r="53" spans="1:17" x14ac:dyDescent="0.35">
      <c r="A53" s="2">
        <v>90</v>
      </c>
      <c r="B53" s="2">
        <v>12</v>
      </c>
      <c r="C53" s="2" t="s">
        <v>17</v>
      </c>
      <c r="D53" s="2">
        <v>3.8946999999999998</v>
      </c>
      <c r="E53" s="2">
        <v>0</v>
      </c>
      <c r="F53" s="4" t="s">
        <v>18</v>
      </c>
      <c r="G53" s="2">
        <v>0.72</v>
      </c>
      <c r="H53" s="2">
        <v>640</v>
      </c>
      <c r="I53" s="2">
        <v>194</v>
      </c>
      <c r="J53" s="2">
        <v>3.4649999999999999</v>
      </c>
      <c r="K53" s="2">
        <v>3.54</v>
      </c>
      <c r="L53" s="2">
        <v>3.6219999999999999</v>
      </c>
      <c r="M53" s="2">
        <v>3.6219999999999999</v>
      </c>
      <c r="N53" s="2">
        <v>0</v>
      </c>
      <c r="O53" s="2">
        <v>3.6320000000000001</v>
      </c>
      <c r="P53" s="2">
        <v>-8.9999999999999993E-3</v>
      </c>
      <c r="Q53" s="2">
        <v>-0.3</v>
      </c>
    </row>
    <row r="54" spans="1:17" x14ac:dyDescent="0.35">
      <c r="A54" s="2">
        <v>90</v>
      </c>
      <c r="B54" s="2">
        <v>13</v>
      </c>
      <c r="C54" s="2" t="s">
        <v>17</v>
      </c>
      <c r="D54" s="2">
        <v>4.1578999999999997</v>
      </c>
      <c r="E54" s="2">
        <v>0</v>
      </c>
      <c r="F54" s="4" t="s">
        <v>18</v>
      </c>
      <c r="G54" s="2">
        <v>0.79</v>
      </c>
      <c r="H54" s="2">
        <v>640</v>
      </c>
      <c r="I54" s="2">
        <v>190</v>
      </c>
      <c r="J54" s="2">
        <v>3.7149999999999999</v>
      </c>
      <c r="K54" s="2">
        <v>3.79</v>
      </c>
      <c r="L54" s="2">
        <v>3.8860000000000001</v>
      </c>
      <c r="M54" s="2">
        <v>3.8860000000000001</v>
      </c>
      <c r="N54" s="2">
        <v>0</v>
      </c>
      <c r="O54" s="2">
        <v>3.895</v>
      </c>
      <c r="P54" s="2">
        <v>-8.9999999999999993E-3</v>
      </c>
      <c r="Q54" s="2">
        <v>-0.2</v>
      </c>
    </row>
    <row r="55" spans="1:17" x14ac:dyDescent="0.35">
      <c r="A55" s="2">
        <v>90</v>
      </c>
      <c r="B55" s="2">
        <v>14</v>
      </c>
      <c r="C55" s="2" t="s">
        <v>17</v>
      </c>
      <c r="D55" s="2">
        <v>4.4211</v>
      </c>
      <c r="E55" s="2">
        <v>0</v>
      </c>
      <c r="F55" s="4" t="s">
        <v>18</v>
      </c>
      <c r="G55" s="2">
        <v>0.67</v>
      </c>
      <c r="H55" s="2">
        <v>640</v>
      </c>
      <c r="I55" s="2">
        <v>180</v>
      </c>
      <c r="J55" s="2">
        <v>4.2069999999999999</v>
      </c>
      <c r="K55" s="2">
        <v>4.282</v>
      </c>
      <c r="L55" s="2">
        <v>4.4130000000000003</v>
      </c>
      <c r="M55" s="2">
        <v>4.4130000000000003</v>
      </c>
      <c r="N55" s="2">
        <v>0</v>
      </c>
      <c r="O55" s="2">
        <v>4.4210000000000003</v>
      </c>
      <c r="P55" s="2">
        <v>-8.9999999999999993E-3</v>
      </c>
      <c r="Q55" s="2">
        <v>-0.2</v>
      </c>
    </row>
    <row r="56" spans="1:17" x14ac:dyDescent="0.35">
      <c r="A56" s="2">
        <v>90</v>
      </c>
      <c r="B56" s="2">
        <v>15</v>
      </c>
      <c r="C56" s="2" t="s">
        <v>17</v>
      </c>
      <c r="D56" s="2">
        <v>4.6841999999999997</v>
      </c>
      <c r="E56" s="2">
        <v>0</v>
      </c>
      <c r="F56" s="4" t="s">
        <v>18</v>
      </c>
      <c r="G56" s="2">
        <v>0.64</v>
      </c>
      <c r="H56" s="2">
        <v>640</v>
      </c>
      <c r="I56" s="2">
        <v>177</v>
      </c>
      <c r="J56" s="2">
        <v>4.4560000000000004</v>
      </c>
      <c r="K56" s="2">
        <v>4.5309999999999997</v>
      </c>
      <c r="L56" s="2">
        <v>4.6760000000000002</v>
      </c>
      <c r="M56" s="2">
        <v>4.6760000000000002</v>
      </c>
      <c r="N56" s="2">
        <v>0</v>
      </c>
      <c r="O56" s="2">
        <v>4.6840000000000002</v>
      </c>
      <c r="P56" s="2">
        <v>-8.0000000000000002E-3</v>
      </c>
      <c r="Q56" s="2">
        <v>-0.2</v>
      </c>
    </row>
    <row r="57" spans="1:17" x14ac:dyDescent="0.35">
      <c r="A57" s="2">
        <v>90</v>
      </c>
      <c r="B57" s="2">
        <v>16</v>
      </c>
      <c r="C57" s="2" t="s">
        <v>17</v>
      </c>
      <c r="D57" s="2">
        <v>4.9474</v>
      </c>
      <c r="E57" s="2">
        <v>0</v>
      </c>
      <c r="F57" s="4" t="s">
        <v>18</v>
      </c>
      <c r="G57" s="2">
        <v>0.64</v>
      </c>
      <c r="H57" s="2">
        <v>640</v>
      </c>
      <c r="I57" s="2">
        <v>177</v>
      </c>
      <c r="J57" s="2">
        <v>4.4560000000000004</v>
      </c>
      <c r="K57" s="2">
        <v>4.5309999999999997</v>
      </c>
      <c r="L57" s="2">
        <v>4.6760000000000002</v>
      </c>
      <c r="M57" s="2">
        <v>4.6760000000000002</v>
      </c>
      <c r="N57" s="2">
        <v>0</v>
      </c>
      <c r="O57" s="2">
        <v>4.6840000000000002</v>
      </c>
      <c r="P57" s="2">
        <v>-8.0000000000000002E-3</v>
      </c>
      <c r="Q57" s="2">
        <v>-0.2</v>
      </c>
    </row>
    <row r="58" spans="1:17" x14ac:dyDescent="0.35">
      <c r="A58" s="2">
        <v>90</v>
      </c>
      <c r="B58" s="2">
        <v>17</v>
      </c>
      <c r="C58" s="2" t="s">
        <v>17</v>
      </c>
      <c r="D58" s="2">
        <v>5.2104999999999997</v>
      </c>
      <c r="E58" s="2">
        <v>0</v>
      </c>
      <c r="F58" s="4" t="s">
        <v>18</v>
      </c>
      <c r="G58" s="2">
        <v>0.61</v>
      </c>
      <c r="H58" s="2">
        <v>640</v>
      </c>
      <c r="I58" s="2">
        <v>170</v>
      </c>
      <c r="J58" s="2">
        <v>4.9489999999999998</v>
      </c>
      <c r="K58" s="2">
        <v>5.024</v>
      </c>
      <c r="L58" s="2">
        <v>5.2030000000000003</v>
      </c>
      <c r="M58" s="2">
        <v>5.2030000000000003</v>
      </c>
      <c r="N58" s="2">
        <v>0</v>
      </c>
      <c r="O58" s="2">
        <v>5.2110000000000003</v>
      </c>
      <c r="P58" s="2">
        <v>-8.0000000000000002E-3</v>
      </c>
      <c r="Q58" s="2">
        <v>-0.2</v>
      </c>
    </row>
    <row r="59" spans="1:17" x14ac:dyDescent="0.35">
      <c r="A59" s="2">
        <v>90</v>
      </c>
      <c r="B59" s="2">
        <v>18</v>
      </c>
      <c r="C59" s="2" t="s">
        <v>17</v>
      </c>
      <c r="D59" s="2">
        <v>5.4737</v>
      </c>
      <c r="E59" s="2">
        <v>0</v>
      </c>
      <c r="F59" s="4" t="s">
        <v>18</v>
      </c>
      <c r="G59" s="2">
        <v>0.61</v>
      </c>
      <c r="H59" s="2">
        <v>640</v>
      </c>
      <c r="I59" s="2">
        <v>170</v>
      </c>
      <c r="J59" s="2">
        <v>4.9489999999999998</v>
      </c>
      <c r="K59" s="2">
        <v>5.024</v>
      </c>
      <c r="L59" s="2">
        <v>5.2030000000000003</v>
      </c>
      <c r="M59" s="2">
        <v>5.2030000000000003</v>
      </c>
      <c r="N59" s="2">
        <v>0</v>
      </c>
      <c r="O59" s="2">
        <v>5.2110000000000003</v>
      </c>
      <c r="P59" s="2">
        <v>-8.0000000000000002E-3</v>
      </c>
      <c r="Q59" s="2">
        <v>-0.2</v>
      </c>
    </row>
    <row r="60" spans="1:17" x14ac:dyDescent="0.35">
      <c r="A60" s="2">
        <v>90</v>
      </c>
      <c r="B60" s="2">
        <v>19</v>
      </c>
      <c r="C60" s="2" t="s">
        <v>17</v>
      </c>
      <c r="D60" s="2">
        <v>5.7367999999999997</v>
      </c>
      <c r="E60" s="2">
        <v>0</v>
      </c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35">
      <c r="A61" s="2">
        <v>90</v>
      </c>
      <c r="B61" s="2">
        <v>20</v>
      </c>
      <c r="C61" s="2" t="s">
        <v>17</v>
      </c>
      <c r="D61" s="2">
        <v>6</v>
      </c>
      <c r="E61" s="2">
        <v>0</v>
      </c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35">
      <c r="A62" s="2">
        <v>90</v>
      </c>
      <c r="B62" s="2">
        <v>21</v>
      </c>
      <c r="C62" s="2" t="s">
        <v>19</v>
      </c>
      <c r="D62" s="2">
        <v>3</v>
      </c>
      <c r="E62" s="2">
        <v>-2.75</v>
      </c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35">
      <c r="A63" s="2">
        <v>90</v>
      </c>
      <c r="B63" s="2">
        <v>22</v>
      </c>
      <c r="C63" s="2" t="s">
        <v>19</v>
      </c>
      <c r="D63" s="2">
        <v>3</v>
      </c>
      <c r="E63" s="2">
        <v>-2.4605000000000001</v>
      </c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35">
      <c r="A64" s="2">
        <v>90</v>
      </c>
      <c r="B64" s="2">
        <v>23</v>
      </c>
      <c r="C64" s="2" t="s">
        <v>19</v>
      </c>
      <c r="D64" s="2">
        <v>3</v>
      </c>
      <c r="E64" s="2">
        <v>-2.1711</v>
      </c>
      <c r="F64" s="4" t="s">
        <v>18</v>
      </c>
      <c r="G64" s="2">
        <v>0.76</v>
      </c>
      <c r="H64" s="2">
        <v>1199</v>
      </c>
      <c r="I64" s="2">
        <v>211</v>
      </c>
      <c r="J64" s="2">
        <v>2.8980000000000001</v>
      </c>
      <c r="K64" s="2">
        <v>2.9729999999999999</v>
      </c>
      <c r="L64" s="2">
        <v>3.8940000000000001</v>
      </c>
      <c r="M64" s="2">
        <v>3.016</v>
      </c>
      <c r="N64" s="2">
        <v>-2.464</v>
      </c>
      <c r="O64" s="2">
        <v>3.88</v>
      </c>
      <c r="P64" s="2">
        <v>1.4E-2</v>
      </c>
      <c r="Q64" s="2">
        <v>0.4</v>
      </c>
    </row>
    <row r="65" spans="1:17" x14ac:dyDescent="0.35">
      <c r="A65" s="2">
        <v>90</v>
      </c>
      <c r="B65" s="2">
        <v>24</v>
      </c>
      <c r="C65" s="2" t="s">
        <v>19</v>
      </c>
      <c r="D65" s="2">
        <v>3</v>
      </c>
      <c r="E65" s="2">
        <v>-1.8815999999999999</v>
      </c>
      <c r="F65" s="4" t="s">
        <v>18</v>
      </c>
      <c r="G65" s="2">
        <v>0.78</v>
      </c>
      <c r="H65" s="2">
        <v>1133</v>
      </c>
      <c r="I65" s="2">
        <v>211</v>
      </c>
      <c r="J65" s="2">
        <v>2.8940000000000001</v>
      </c>
      <c r="K65" s="2">
        <v>2.9689999999999999</v>
      </c>
      <c r="L65" s="2">
        <v>3.7130000000000001</v>
      </c>
      <c r="M65" s="2">
        <v>3.012</v>
      </c>
      <c r="N65" s="2">
        <v>-2.17</v>
      </c>
      <c r="O65" s="2">
        <v>3.5409999999999999</v>
      </c>
      <c r="P65" s="2">
        <v>0.17100000000000001</v>
      </c>
      <c r="Q65" s="2">
        <v>4.8</v>
      </c>
    </row>
    <row r="66" spans="1:17" x14ac:dyDescent="0.35">
      <c r="A66" s="2">
        <v>90</v>
      </c>
      <c r="B66" s="2">
        <v>25</v>
      </c>
      <c r="C66" s="2" t="s">
        <v>19</v>
      </c>
      <c r="D66" s="2">
        <v>3</v>
      </c>
      <c r="E66" s="2">
        <v>-1.5921000000000001</v>
      </c>
      <c r="F66" s="4" t="s">
        <v>18</v>
      </c>
      <c r="G66" s="2">
        <v>0.8</v>
      </c>
      <c r="H66" s="2">
        <v>1066</v>
      </c>
      <c r="I66" s="2">
        <v>212</v>
      </c>
      <c r="J66" s="2">
        <v>2.8940000000000001</v>
      </c>
      <c r="K66" s="2">
        <v>2.9689999999999999</v>
      </c>
      <c r="L66" s="2">
        <v>3.5470000000000002</v>
      </c>
      <c r="M66" s="2">
        <v>3.01</v>
      </c>
      <c r="N66" s="2">
        <v>-1.875</v>
      </c>
      <c r="O66" s="2">
        <v>3.5409999999999999</v>
      </c>
      <c r="P66" s="2">
        <v>5.0000000000000001E-3</v>
      </c>
      <c r="Q66" s="2">
        <v>0.2</v>
      </c>
    </row>
    <row r="67" spans="1:17" x14ac:dyDescent="0.35">
      <c r="A67" s="2">
        <v>90</v>
      </c>
      <c r="B67" s="2">
        <v>26</v>
      </c>
      <c r="C67" s="2" t="s">
        <v>19</v>
      </c>
      <c r="D67" s="2">
        <v>3</v>
      </c>
      <c r="E67" s="2">
        <v>-1.3026</v>
      </c>
      <c r="F67" s="4" t="s">
        <v>18</v>
      </c>
      <c r="G67" s="2">
        <v>0.78</v>
      </c>
      <c r="H67" s="2">
        <v>999</v>
      </c>
      <c r="I67" s="2">
        <v>212</v>
      </c>
      <c r="J67" s="2">
        <v>2.8929999999999998</v>
      </c>
      <c r="K67" s="2">
        <v>2.968</v>
      </c>
      <c r="L67" s="2">
        <v>3.399</v>
      </c>
      <c r="M67" s="2">
        <v>3.0089999999999999</v>
      </c>
      <c r="N67" s="2">
        <v>-1.58</v>
      </c>
      <c r="O67" s="2">
        <v>3.2709999999999999</v>
      </c>
      <c r="P67" s="2">
        <v>0.128</v>
      </c>
      <c r="Q67" s="2">
        <v>3.9</v>
      </c>
    </row>
    <row r="68" spans="1:17" x14ac:dyDescent="0.35">
      <c r="A68" s="2">
        <v>90</v>
      </c>
      <c r="B68" s="2">
        <v>27</v>
      </c>
      <c r="C68" s="2" t="s">
        <v>19</v>
      </c>
      <c r="D68" s="2">
        <v>3</v>
      </c>
      <c r="E68" s="2">
        <v>-1.0132000000000001</v>
      </c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35">
      <c r="A69" s="2">
        <v>90</v>
      </c>
      <c r="B69" s="2">
        <v>28</v>
      </c>
      <c r="C69" s="2" t="s">
        <v>19</v>
      </c>
      <c r="D69" s="2">
        <v>3</v>
      </c>
      <c r="E69" s="2">
        <v>-0.72370000000000001</v>
      </c>
      <c r="F69" s="4" t="s">
        <v>18</v>
      </c>
      <c r="G69" s="2">
        <v>0.86</v>
      </c>
      <c r="H69" s="2">
        <v>869</v>
      </c>
      <c r="I69" s="2">
        <v>213</v>
      </c>
      <c r="J69" s="2">
        <v>2.883</v>
      </c>
      <c r="K69" s="2">
        <v>2.9580000000000002</v>
      </c>
      <c r="L69" s="2">
        <v>3.161</v>
      </c>
      <c r="M69" s="2">
        <v>2.9969999999999999</v>
      </c>
      <c r="N69" s="2">
        <v>-1.004</v>
      </c>
      <c r="O69" s="2">
        <v>3.0859999999999999</v>
      </c>
      <c r="P69" s="2">
        <v>7.4999999999999997E-2</v>
      </c>
      <c r="Q69" s="2">
        <v>2.4</v>
      </c>
    </row>
    <row r="70" spans="1:17" x14ac:dyDescent="0.35">
      <c r="A70" s="2">
        <v>90</v>
      </c>
      <c r="B70" s="2">
        <v>29</v>
      </c>
      <c r="C70" s="2" t="s">
        <v>19</v>
      </c>
      <c r="D70" s="2">
        <v>3</v>
      </c>
      <c r="E70" s="2">
        <v>-0.43419999999999997</v>
      </c>
      <c r="F70" s="4" t="s">
        <v>18</v>
      </c>
      <c r="G70" s="2">
        <v>0.87</v>
      </c>
      <c r="H70" s="2">
        <v>805</v>
      </c>
      <c r="I70" s="2">
        <v>213</v>
      </c>
      <c r="J70" s="2">
        <v>2.8769999999999998</v>
      </c>
      <c r="K70" s="2">
        <v>2.952</v>
      </c>
      <c r="L70" s="2">
        <v>3.0779999999999998</v>
      </c>
      <c r="M70" s="2">
        <v>2.992</v>
      </c>
      <c r="N70" s="2">
        <v>-0.72199999999999998</v>
      </c>
      <c r="O70" s="2">
        <v>3.0310000000000001</v>
      </c>
      <c r="P70" s="2">
        <v>4.7E-2</v>
      </c>
      <c r="Q70" s="2">
        <v>1.5</v>
      </c>
    </row>
    <row r="71" spans="1:17" x14ac:dyDescent="0.35">
      <c r="A71" s="2">
        <v>90</v>
      </c>
      <c r="B71" s="2">
        <v>30</v>
      </c>
      <c r="C71" s="2" t="s">
        <v>19</v>
      </c>
      <c r="D71" s="2">
        <v>3</v>
      </c>
      <c r="E71" s="2">
        <v>-0.1447</v>
      </c>
      <c r="F71" s="4" t="s">
        <v>18</v>
      </c>
      <c r="G71" s="2">
        <v>0.85</v>
      </c>
      <c r="H71" s="2">
        <v>739</v>
      </c>
      <c r="I71" s="2">
        <v>212</v>
      </c>
      <c r="J71" s="2">
        <v>2.875</v>
      </c>
      <c r="K71" s="2">
        <v>2.95</v>
      </c>
      <c r="L71" s="2">
        <v>3.0219999999999998</v>
      </c>
      <c r="M71" s="2">
        <v>2.9910000000000001</v>
      </c>
      <c r="N71" s="2">
        <v>-0.433</v>
      </c>
      <c r="O71" s="2">
        <v>3.0030000000000001</v>
      </c>
      <c r="P71" s="2">
        <v>1.7999999999999999E-2</v>
      </c>
      <c r="Q71" s="2">
        <v>0.6</v>
      </c>
    </row>
    <row r="72" spans="1:17" x14ac:dyDescent="0.35">
      <c r="A72" s="2">
        <v>90</v>
      </c>
      <c r="B72" s="2">
        <v>31</v>
      </c>
      <c r="C72" s="2" t="s">
        <v>19</v>
      </c>
      <c r="D72" s="2">
        <v>3</v>
      </c>
      <c r="E72" s="2">
        <v>0.1447</v>
      </c>
      <c r="F72" s="4" t="s">
        <v>18</v>
      </c>
      <c r="G72" s="2">
        <v>0.15</v>
      </c>
      <c r="H72" s="2">
        <v>608</v>
      </c>
      <c r="I72" s="2">
        <v>212</v>
      </c>
      <c r="J72" s="2">
        <v>2.875</v>
      </c>
      <c r="K72" s="2">
        <v>2.95</v>
      </c>
      <c r="L72" s="2">
        <v>2.9940000000000002</v>
      </c>
      <c r="M72" s="2">
        <v>2.9910000000000001</v>
      </c>
      <c r="N72" s="2">
        <v>0.14000000000000001</v>
      </c>
      <c r="O72" s="2">
        <v>3.0030000000000001</v>
      </c>
      <c r="P72" s="2">
        <v>-0.01</v>
      </c>
      <c r="Q72" s="2">
        <v>-0.3</v>
      </c>
    </row>
    <row r="73" spans="1:17" x14ac:dyDescent="0.35">
      <c r="A73" s="2">
        <v>90</v>
      </c>
      <c r="B73" s="2">
        <v>32</v>
      </c>
      <c r="C73" s="2" t="s">
        <v>19</v>
      </c>
      <c r="D73" s="2">
        <v>3</v>
      </c>
      <c r="E73" s="2">
        <v>0.43419999999999997</v>
      </c>
      <c r="F73" s="4" t="s">
        <v>18</v>
      </c>
      <c r="G73" s="2">
        <v>0.85</v>
      </c>
      <c r="H73" s="2">
        <v>542</v>
      </c>
      <c r="I73" s="2">
        <v>212</v>
      </c>
      <c r="J73" s="2">
        <v>2.8759999999999999</v>
      </c>
      <c r="K73" s="2">
        <v>2.9510000000000001</v>
      </c>
      <c r="L73" s="2">
        <v>3.0230000000000001</v>
      </c>
      <c r="M73" s="2">
        <v>2.992</v>
      </c>
      <c r="N73" s="2">
        <v>0.42899999999999999</v>
      </c>
      <c r="O73" s="2">
        <v>3.0310000000000001</v>
      </c>
      <c r="P73" s="2">
        <v>-8.0000000000000002E-3</v>
      </c>
      <c r="Q73" s="2">
        <v>-0.3</v>
      </c>
    </row>
    <row r="74" spans="1:17" x14ac:dyDescent="0.35">
      <c r="A74" s="2">
        <v>90</v>
      </c>
      <c r="B74" s="2">
        <v>33</v>
      </c>
      <c r="C74" s="2" t="s">
        <v>19</v>
      </c>
      <c r="D74" s="2">
        <v>3</v>
      </c>
      <c r="E74" s="2">
        <v>0.72370000000000001</v>
      </c>
      <c r="F74" s="4" t="s">
        <v>18</v>
      </c>
      <c r="G74" s="2">
        <v>0.85</v>
      </c>
      <c r="H74" s="2">
        <v>542</v>
      </c>
      <c r="I74" s="2">
        <v>212</v>
      </c>
      <c r="J74" s="2">
        <v>2.8759999999999999</v>
      </c>
      <c r="K74" s="2">
        <v>2.9510000000000001</v>
      </c>
      <c r="L74" s="2">
        <v>3.0230000000000001</v>
      </c>
      <c r="M74" s="2">
        <v>2.992</v>
      </c>
      <c r="N74" s="2">
        <v>0.42899999999999999</v>
      </c>
      <c r="O74" s="2">
        <v>3.0859999999999999</v>
      </c>
      <c r="P74" s="2">
        <v>-6.3E-2</v>
      </c>
      <c r="Q74" s="2">
        <v>-2.1</v>
      </c>
    </row>
    <row r="75" spans="1:17" x14ac:dyDescent="0.35">
      <c r="A75" s="2">
        <v>90</v>
      </c>
      <c r="B75" s="2">
        <v>34</v>
      </c>
      <c r="C75" s="2" t="s">
        <v>19</v>
      </c>
      <c r="D75" s="2">
        <v>3</v>
      </c>
      <c r="E75" s="2">
        <v>1.0132000000000001</v>
      </c>
      <c r="F75" s="4" t="s">
        <v>18</v>
      </c>
      <c r="G75" s="2">
        <v>0.83</v>
      </c>
      <c r="H75" s="2">
        <v>476</v>
      </c>
      <c r="I75" s="2">
        <v>212</v>
      </c>
      <c r="J75" s="2">
        <v>2.8780000000000001</v>
      </c>
      <c r="K75" s="2">
        <v>2.9529999999999998</v>
      </c>
      <c r="L75" s="2">
        <v>3.0790000000000002</v>
      </c>
      <c r="M75" s="2">
        <v>2.9940000000000002</v>
      </c>
      <c r="N75" s="2">
        <v>0.71799999999999997</v>
      </c>
      <c r="O75" s="2">
        <v>3.1659999999999999</v>
      </c>
      <c r="P75" s="2">
        <v>-8.6999999999999994E-2</v>
      </c>
      <c r="Q75" s="2">
        <v>-2.8</v>
      </c>
    </row>
    <row r="76" spans="1:17" x14ac:dyDescent="0.35">
      <c r="A76" s="2">
        <v>90</v>
      </c>
      <c r="B76" s="2">
        <v>35</v>
      </c>
      <c r="C76" s="2" t="s">
        <v>19</v>
      </c>
      <c r="D76" s="2">
        <v>3</v>
      </c>
      <c r="E76" s="2">
        <v>1.3026</v>
      </c>
      <c r="F76" s="4" t="s">
        <v>18</v>
      </c>
      <c r="G76" s="2">
        <v>0.83</v>
      </c>
      <c r="H76" s="2">
        <v>344</v>
      </c>
      <c r="I76" s="2">
        <v>212</v>
      </c>
      <c r="J76" s="2">
        <v>2.8839999999999999</v>
      </c>
      <c r="K76" s="2">
        <v>2.9590000000000001</v>
      </c>
      <c r="L76" s="2">
        <v>3.27</v>
      </c>
      <c r="M76" s="2">
        <v>3.0009999999999999</v>
      </c>
      <c r="N76" s="2">
        <v>1.2989999999999999</v>
      </c>
      <c r="O76" s="2">
        <v>3.2709999999999999</v>
      </c>
      <c r="P76" s="2">
        <v>-1E-3</v>
      </c>
      <c r="Q76" s="2">
        <v>0</v>
      </c>
    </row>
    <row r="77" spans="1:17" x14ac:dyDescent="0.35">
      <c r="A77" s="2">
        <v>90</v>
      </c>
      <c r="B77" s="2">
        <v>36</v>
      </c>
      <c r="C77" s="2" t="s">
        <v>19</v>
      </c>
      <c r="D77" s="2">
        <v>3</v>
      </c>
      <c r="E77" s="2">
        <v>1.5921000000000001</v>
      </c>
      <c r="F77" s="4" t="s">
        <v>18</v>
      </c>
      <c r="G77" s="2">
        <v>0.81</v>
      </c>
      <c r="H77" s="2">
        <v>277</v>
      </c>
      <c r="I77" s="2">
        <v>212</v>
      </c>
      <c r="J77" s="2">
        <v>2.8860000000000001</v>
      </c>
      <c r="K77" s="2">
        <v>2.9609999999999999</v>
      </c>
      <c r="L77" s="2">
        <v>3.399</v>
      </c>
      <c r="M77" s="2">
        <v>3.0019999999999998</v>
      </c>
      <c r="N77" s="2">
        <v>1.5940000000000001</v>
      </c>
      <c r="O77" s="2">
        <v>3.3959999999999999</v>
      </c>
      <c r="P77" s="2">
        <v>2E-3</v>
      </c>
      <c r="Q77" s="2">
        <v>0.1</v>
      </c>
    </row>
    <row r="78" spans="1:17" x14ac:dyDescent="0.35">
      <c r="A78" s="2">
        <v>90</v>
      </c>
      <c r="B78" s="2">
        <v>37</v>
      </c>
      <c r="C78" s="2" t="s">
        <v>19</v>
      </c>
      <c r="D78" s="2">
        <v>3</v>
      </c>
      <c r="E78" s="2">
        <v>1.8815999999999999</v>
      </c>
      <c r="F78" s="4" t="s">
        <v>18</v>
      </c>
      <c r="G78" s="2">
        <v>0.81</v>
      </c>
      <c r="H78" s="2">
        <v>211</v>
      </c>
      <c r="I78" s="2">
        <v>211</v>
      </c>
      <c r="J78" s="2">
        <v>2.8879999999999999</v>
      </c>
      <c r="K78" s="2">
        <v>2.9630000000000001</v>
      </c>
      <c r="L78" s="2">
        <v>3.548</v>
      </c>
      <c r="M78" s="2">
        <v>3.0059999999999998</v>
      </c>
      <c r="N78" s="2">
        <v>1.885</v>
      </c>
      <c r="O78" s="2">
        <v>3.5409999999999999</v>
      </c>
      <c r="P78" s="2">
        <v>7.0000000000000001E-3</v>
      </c>
      <c r="Q78" s="2">
        <v>0.2</v>
      </c>
    </row>
    <row r="79" spans="1:17" x14ac:dyDescent="0.35">
      <c r="A79" s="2">
        <v>90</v>
      </c>
      <c r="B79" s="2">
        <v>38</v>
      </c>
      <c r="C79" s="2" t="s">
        <v>19</v>
      </c>
      <c r="D79" s="2">
        <v>3</v>
      </c>
      <c r="E79" s="2">
        <v>2.1711</v>
      </c>
      <c r="F79" s="4" t="s">
        <v>18</v>
      </c>
      <c r="G79" s="2">
        <v>0.74</v>
      </c>
      <c r="H79" s="2">
        <v>145</v>
      </c>
      <c r="I79" s="2">
        <v>211</v>
      </c>
      <c r="J79" s="2">
        <v>2.8919999999999999</v>
      </c>
      <c r="K79" s="2">
        <v>2.9670000000000001</v>
      </c>
      <c r="L79" s="2">
        <v>3.7149999999999999</v>
      </c>
      <c r="M79" s="2">
        <v>3.01</v>
      </c>
      <c r="N79" s="2">
        <v>2.1779999999999999</v>
      </c>
      <c r="O79" s="2">
        <v>3.7029999999999998</v>
      </c>
      <c r="P79" s="2">
        <v>1.2E-2</v>
      </c>
      <c r="Q79" s="2">
        <v>0.3</v>
      </c>
    </row>
    <row r="80" spans="1:17" x14ac:dyDescent="0.35">
      <c r="A80" s="2">
        <v>90</v>
      </c>
      <c r="B80" s="2">
        <v>39</v>
      </c>
      <c r="C80" s="2" t="s">
        <v>19</v>
      </c>
      <c r="D80" s="2">
        <v>3</v>
      </c>
      <c r="E80" s="2">
        <v>2.4605000000000001</v>
      </c>
      <c r="F80" s="4" t="s">
        <v>18</v>
      </c>
      <c r="G80" s="2">
        <v>0.82</v>
      </c>
      <c r="H80" s="2">
        <v>78</v>
      </c>
      <c r="I80" s="2">
        <v>211</v>
      </c>
      <c r="J80" s="2">
        <v>2.8929999999999998</v>
      </c>
      <c r="K80" s="2">
        <v>2.968</v>
      </c>
      <c r="L80" s="2">
        <v>3.8959999999999999</v>
      </c>
      <c r="M80" s="2">
        <v>3.0110000000000001</v>
      </c>
      <c r="N80" s="2">
        <v>2.4729999999999999</v>
      </c>
      <c r="O80" s="2">
        <v>3.88</v>
      </c>
      <c r="P80" s="2">
        <v>1.6E-2</v>
      </c>
      <c r="Q80" s="2">
        <v>0.4</v>
      </c>
    </row>
    <row r="81" spans="1:17" x14ac:dyDescent="0.35">
      <c r="A81" s="2">
        <v>90</v>
      </c>
      <c r="B81" s="2">
        <v>40</v>
      </c>
      <c r="C81" s="2" t="s">
        <v>19</v>
      </c>
      <c r="D81" s="2">
        <v>3</v>
      </c>
      <c r="E81" s="2">
        <v>2.75</v>
      </c>
      <c r="F81" s="4" t="s">
        <v>18</v>
      </c>
      <c r="G81" s="2">
        <v>0.82</v>
      </c>
      <c r="H81" s="2">
        <v>78</v>
      </c>
      <c r="I81" s="2">
        <v>211</v>
      </c>
      <c r="J81" s="2">
        <v>2.8929999999999998</v>
      </c>
      <c r="K81" s="2">
        <v>2.968</v>
      </c>
      <c r="L81" s="2">
        <v>3.8959999999999999</v>
      </c>
      <c r="M81" s="2">
        <v>3.0110000000000001</v>
      </c>
      <c r="N81" s="2">
        <v>2.4729999999999999</v>
      </c>
      <c r="O81" s="2">
        <v>4.07</v>
      </c>
      <c r="P81" s="2">
        <v>-0.17299999999999999</v>
      </c>
      <c r="Q81" s="2">
        <v>-4.3</v>
      </c>
    </row>
    <row r="82" spans="1:17" x14ac:dyDescent="0.35">
      <c r="A82" s="2">
        <v>80</v>
      </c>
      <c r="B82" s="2">
        <v>1</v>
      </c>
      <c r="C82" s="2" t="s">
        <v>17</v>
      </c>
      <c r="D82" s="2">
        <v>1</v>
      </c>
      <c r="E82" s="2">
        <v>0</v>
      </c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35">
      <c r="A83" s="2">
        <v>80</v>
      </c>
      <c r="B83" s="2">
        <v>2</v>
      </c>
      <c r="C83" s="2" t="s">
        <v>17</v>
      </c>
      <c r="D83" s="2">
        <v>1.2632000000000001</v>
      </c>
      <c r="E83" s="2">
        <v>0</v>
      </c>
      <c r="F83" s="4" t="s">
        <v>18</v>
      </c>
      <c r="G83" s="2">
        <v>0.83</v>
      </c>
      <c r="H83" s="2">
        <v>640</v>
      </c>
      <c r="I83" s="2">
        <v>395</v>
      </c>
      <c r="J83" s="2">
        <v>0.99299999999999999</v>
      </c>
      <c r="K83" s="2">
        <v>1.0680000000000001</v>
      </c>
      <c r="L83" s="2">
        <v>0.98199999999999998</v>
      </c>
      <c r="M83" s="2">
        <v>0.98199999999999998</v>
      </c>
      <c r="N83" s="2">
        <v>0</v>
      </c>
      <c r="O83" s="2">
        <v>1</v>
      </c>
      <c r="P83" s="2">
        <v>-1.7999999999999999E-2</v>
      </c>
      <c r="Q83" s="2">
        <v>-1.8</v>
      </c>
    </row>
    <row r="84" spans="1:17" x14ac:dyDescent="0.35">
      <c r="A84" s="2">
        <v>80</v>
      </c>
      <c r="B84" s="2">
        <v>3</v>
      </c>
      <c r="C84" s="2" t="s">
        <v>17</v>
      </c>
      <c r="D84" s="2">
        <v>1.5263</v>
      </c>
      <c r="E84" s="2">
        <v>0</v>
      </c>
      <c r="F84" s="4" t="s">
        <v>18</v>
      </c>
      <c r="G84" s="2">
        <v>0.89</v>
      </c>
      <c r="H84" s="2">
        <v>639</v>
      </c>
      <c r="I84" s="2">
        <v>303</v>
      </c>
      <c r="J84" s="2">
        <v>1.4890000000000001</v>
      </c>
      <c r="K84" s="2">
        <v>1.5640000000000001</v>
      </c>
      <c r="L84" s="2">
        <v>1.512</v>
      </c>
      <c r="M84" s="2">
        <v>1.512</v>
      </c>
      <c r="N84" s="2">
        <v>2E-3</v>
      </c>
      <c r="O84" s="2">
        <v>1.526</v>
      </c>
      <c r="P84" s="2">
        <v>-1.4E-2</v>
      </c>
      <c r="Q84" s="2">
        <v>-0.9</v>
      </c>
    </row>
    <row r="85" spans="1:17" x14ac:dyDescent="0.35">
      <c r="A85" s="2">
        <v>80</v>
      </c>
      <c r="B85" s="2">
        <v>4</v>
      </c>
      <c r="C85" s="2" t="s">
        <v>17</v>
      </c>
      <c r="D85" s="2">
        <v>1.7895000000000001</v>
      </c>
      <c r="E85" s="2">
        <v>0</v>
      </c>
      <c r="F85" s="4" t="s">
        <v>18</v>
      </c>
      <c r="G85" s="2">
        <v>0.89</v>
      </c>
      <c r="H85" s="2">
        <v>639</v>
      </c>
      <c r="I85" s="2">
        <v>303</v>
      </c>
      <c r="J85" s="2">
        <v>1.4890000000000001</v>
      </c>
      <c r="K85" s="2">
        <v>1.5640000000000001</v>
      </c>
      <c r="L85" s="2">
        <v>1.512</v>
      </c>
      <c r="M85" s="2">
        <v>1.512</v>
      </c>
      <c r="N85" s="2">
        <v>2E-3</v>
      </c>
      <c r="O85" s="2">
        <v>1.526</v>
      </c>
      <c r="P85" s="2">
        <v>-1.4E-2</v>
      </c>
      <c r="Q85" s="2">
        <v>-0.9</v>
      </c>
    </row>
    <row r="86" spans="1:17" x14ac:dyDescent="0.35">
      <c r="A86" s="2">
        <v>80</v>
      </c>
      <c r="B86" s="2">
        <v>5</v>
      </c>
      <c r="C86" s="2" t="s">
        <v>17</v>
      </c>
      <c r="D86" s="2">
        <v>2.0526</v>
      </c>
      <c r="E86" s="2">
        <v>0</v>
      </c>
      <c r="F86" s="4" t="s">
        <v>18</v>
      </c>
      <c r="G86" s="2">
        <v>0.88</v>
      </c>
      <c r="H86" s="2">
        <v>639</v>
      </c>
      <c r="I86" s="2">
        <v>277</v>
      </c>
      <c r="J86" s="2">
        <v>1.7370000000000001</v>
      </c>
      <c r="K86" s="2">
        <v>1.8120000000000001</v>
      </c>
      <c r="L86" s="2">
        <v>1.776</v>
      </c>
      <c r="M86" s="2">
        <v>1.776</v>
      </c>
      <c r="N86" s="2">
        <v>3.0000000000000001E-3</v>
      </c>
      <c r="O86" s="2">
        <v>1.526</v>
      </c>
      <c r="P86" s="2">
        <v>0.25</v>
      </c>
      <c r="Q86" s="2">
        <v>16.399999999999999</v>
      </c>
    </row>
    <row r="87" spans="1:17" x14ac:dyDescent="0.35">
      <c r="A87" s="2">
        <v>80</v>
      </c>
      <c r="B87" s="2">
        <v>6</v>
      </c>
      <c r="C87" s="2" t="s">
        <v>17</v>
      </c>
      <c r="D87" s="2">
        <v>2.3157999999999999</v>
      </c>
      <c r="E87" s="2">
        <v>0</v>
      </c>
      <c r="F87" s="4" t="s">
        <v>18</v>
      </c>
      <c r="G87" s="2">
        <v>0.86</v>
      </c>
      <c r="H87" s="2">
        <v>639</v>
      </c>
      <c r="I87" s="2">
        <v>257</v>
      </c>
      <c r="J87" s="2">
        <v>1.984</v>
      </c>
      <c r="K87" s="2">
        <v>2.0590000000000002</v>
      </c>
      <c r="L87" s="2">
        <v>2.04</v>
      </c>
      <c r="M87" s="2">
        <v>2.04</v>
      </c>
      <c r="N87" s="2">
        <v>3.0000000000000001E-3</v>
      </c>
      <c r="O87" s="2">
        <v>2.3159999999999998</v>
      </c>
      <c r="P87" s="2">
        <v>-0.27500000000000002</v>
      </c>
      <c r="Q87" s="2">
        <v>-11.9</v>
      </c>
    </row>
    <row r="88" spans="1:17" x14ac:dyDescent="0.35">
      <c r="A88" s="2">
        <v>80</v>
      </c>
      <c r="B88" s="2">
        <v>7</v>
      </c>
      <c r="C88" s="2" t="s">
        <v>17</v>
      </c>
      <c r="D88" s="2">
        <v>2.5789</v>
      </c>
      <c r="E88" s="2">
        <v>0</v>
      </c>
      <c r="F88" s="4" t="s">
        <v>18</v>
      </c>
      <c r="G88" s="2">
        <v>0.69</v>
      </c>
      <c r="H88" s="2">
        <v>639</v>
      </c>
      <c r="I88" s="2">
        <v>241</v>
      </c>
      <c r="J88" s="2">
        <v>2.2320000000000002</v>
      </c>
      <c r="K88" s="2">
        <v>2.3069999999999999</v>
      </c>
      <c r="L88" s="2">
        <v>2.3039999999999998</v>
      </c>
      <c r="M88" s="2">
        <v>2.3039999999999998</v>
      </c>
      <c r="N88" s="2">
        <v>3.0000000000000001E-3</v>
      </c>
      <c r="O88" s="2">
        <v>2.3159999999999998</v>
      </c>
      <c r="P88" s="2">
        <v>-1.2E-2</v>
      </c>
      <c r="Q88" s="2">
        <v>-0.5</v>
      </c>
    </row>
    <row r="89" spans="1:17" x14ac:dyDescent="0.35">
      <c r="A89" s="2">
        <v>80</v>
      </c>
      <c r="B89" s="2">
        <v>8</v>
      </c>
      <c r="C89" s="2" t="s">
        <v>17</v>
      </c>
      <c r="D89" s="2">
        <v>2.8420999999999998</v>
      </c>
      <c r="E89" s="2">
        <v>0</v>
      </c>
      <c r="F89" s="4" t="s">
        <v>18</v>
      </c>
      <c r="G89" s="2">
        <v>0.8</v>
      </c>
      <c r="H89" s="2">
        <v>640</v>
      </c>
      <c r="I89" s="2">
        <v>227</v>
      </c>
      <c r="J89" s="2">
        <v>2.4769999999999999</v>
      </c>
      <c r="K89" s="2">
        <v>2.552</v>
      </c>
      <c r="L89" s="2">
        <v>2.5680000000000001</v>
      </c>
      <c r="M89" s="2">
        <v>2.5680000000000001</v>
      </c>
      <c r="N89" s="2">
        <v>0</v>
      </c>
      <c r="O89" s="2">
        <v>2.5790000000000002</v>
      </c>
      <c r="P89" s="2">
        <v>-1.0999999999999999E-2</v>
      </c>
      <c r="Q89" s="2">
        <v>-0.4</v>
      </c>
    </row>
    <row r="90" spans="1:17" x14ac:dyDescent="0.35">
      <c r="A90" s="2">
        <v>80</v>
      </c>
      <c r="B90" s="2">
        <v>9</v>
      </c>
      <c r="C90" s="2" t="s">
        <v>17</v>
      </c>
      <c r="D90" s="2">
        <v>3.1053000000000002</v>
      </c>
      <c r="E90" s="2">
        <v>0</v>
      </c>
      <c r="F90" s="4" t="s">
        <v>18</v>
      </c>
      <c r="G90" s="2">
        <v>0.51</v>
      </c>
      <c r="H90" s="2">
        <v>640</v>
      </c>
      <c r="I90" s="2">
        <v>218</v>
      </c>
      <c r="J90" s="2">
        <v>2.726</v>
      </c>
      <c r="K90" s="2">
        <v>2.8010000000000002</v>
      </c>
      <c r="L90" s="2">
        <v>2.8319999999999999</v>
      </c>
      <c r="M90" s="2">
        <v>2.8319999999999999</v>
      </c>
      <c r="N90" s="2">
        <v>0</v>
      </c>
      <c r="O90" s="2">
        <v>2.8420000000000001</v>
      </c>
      <c r="P90" s="2">
        <v>-0.01</v>
      </c>
      <c r="Q90" s="2">
        <v>-0.4</v>
      </c>
    </row>
    <row r="91" spans="1:17" x14ac:dyDescent="0.35">
      <c r="A91" s="2">
        <v>80</v>
      </c>
      <c r="B91" s="2">
        <v>10</v>
      </c>
      <c r="C91" s="2" t="s">
        <v>17</v>
      </c>
      <c r="D91" s="2">
        <v>3.3683999999999998</v>
      </c>
      <c r="E91" s="2">
        <v>0</v>
      </c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35">
      <c r="A92" s="2">
        <v>80</v>
      </c>
      <c r="B92" s="2">
        <v>11</v>
      </c>
      <c r="C92" s="2" t="s">
        <v>17</v>
      </c>
      <c r="D92" s="2">
        <v>3.6316000000000002</v>
      </c>
      <c r="E92" s="2">
        <v>0</v>
      </c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35">
      <c r="A93" s="2">
        <v>80</v>
      </c>
      <c r="B93" s="2">
        <v>12</v>
      </c>
      <c r="C93" s="2" t="s">
        <v>17</v>
      </c>
      <c r="D93" s="2">
        <v>3.8946999999999998</v>
      </c>
      <c r="E93" s="2">
        <v>0</v>
      </c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35">
      <c r="A94" s="2">
        <v>80</v>
      </c>
      <c r="B94" s="2">
        <v>13</v>
      </c>
      <c r="C94" s="2" t="s">
        <v>17</v>
      </c>
      <c r="D94" s="2">
        <v>4.1578999999999997</v>
      </c>
      <c r="E94" s="2">
        <v>0</v>
      </c>
      <c r="F94" s="4" t="s">
        <v>18</v>
      </c>
      <c r="G94" s="2">
        <v>0.8</v>
      </c>
      <c r="H94" s="2">
        <v>640</v>
      </c>
      <c r="I94" s="2">
        <v>189</v>
      </c>
      <c r="J94" s="2">
        <v>3.7130000000000001</v>
      </c>
      <c r="K94" s="2">
        <v>3.7879999999999998</v>
      </c>
      <c r="L94" s="2">
        <v>3.8860000000000001</v>
      </c>
      <c r="M94" s="2">
        <v>3.8860000000000001</v>
      </c>
      <c r="N94" s="2">
        <v>0</v>
      </c>
      <c r="O94" s="2">
        <v>3.895</v>
      </c>
      <c r="P94" s="2">
        <v>-8.9999999999999993E-3</v>
      </c>
      <c r="Q94" s="2">
        <v>-0.2</v>
      </c>
    </row>
    <row r="95" spans="1:17" x14ac:dyDescent="0.35">
      <c r="A95" s="2">
        <v>80</v>
      </c>
      <c r="B95" s="2">
        <v>14</v>
      </c>
      <c r="C95" s="2" t="s">
        <v>17</v>
      </c>
      <c r="D95" s="2">
        <v>4.4211</v>
      </c>
      <c r="E95" s="2">
        <v>0</v>
      </c>
      <c r="F95" s="4" t="s">
        <v>18</v>
      </c>
      <c r="G95" s="2">
        <v>0.77</v>
      </c>
      <c r="H95" s="2">
        <v>640</v>
      </c>
      <c r="I95" s="2">
        <v>180</v>
      </c>
      <c r="J95" s="2">
        <v>4.2069999999999999</v>
      </c>
      <c r="K95" s="2">
        <v>4.282</v>
      </c>
      <c r="L95" s="2">
        <v>4.4130000000000003</v>
      </c>
      <c r="M95" s="2">
        <v>4.4130000000000003</v>
      </c>
      <c r="N95" s="2">
        <v>0</v>
      </c>
      <c r="O95" s="2">
        <v>4.4210000000000003</v>
      </c>
      <c r="P95" s="2">
        <v>-8.9999999999999993E-3</v>
      </c>
      <c r="Q95" s="2">
        <v>-0.2</v>
      </c>
    </row>
    <row r="96" spans="1:17" x14ac:dyDescent="0.35">
      <c r="A96" s="2">
        <v>80</v>
      </c>
      <c r="B96" s="2">
        <v>15</v>
      </c>
      <c r="C96" s="2" t="s">
        <v>17</v>
      </c>
      <c r="D96" s="2">
        <v>4.6841999999999997</v>
      </c>
      <c r="E96" s="2">
        <v>0</v>
      </c>
      <c r="F96" s="4" t="s">
        <v>18</v>
      </c>
      <c r="G96" s="2">
        <v>0.62</v>
      </c>
      <c r="H96" s="2">
        <v>640</v>
      </c>
      <c r="I96" s="2">
        <v>177</v>
      </c>
      <c r="J96" s="2">
        <v>4.4560000000000004</v>
      </c>
      <c r="K96" s="2">
        <v>4.5309999999999997</v>
      </c>
      <c r="L96" s="2">
        <v>4.6760000000000002</v>
      </c>
      <c r="M96" s="2">
        <v>4.6760000000000002</v>
      </c>
      <c r="N96" s="2">
        <v>0</v>
      </c>
      <c r="O96" s="2">
        <v>4.6840000000000002</v>
      </c>
      <c r="P96" s="2">
        <v>-8.0000000000000002E-3</v>
      </c>
      <c r="Q96" s="2">
        <v>-0.2</v>
      </c>
    </row>
    <row r="97" spans="1:17" x14ac:dyDescent="0.35">
      <c r="A97" s="2">
        <v>80</v>
      </c>
      <c r="B97" s="2">
        <v>16</v>
      </c>
      <c r="C97" s="2" t="s">
        <v>17</v>
      </c>
      <c r="D97" s="2">
        <v>4.9474</v>
      </c>
      <c r="E97" s="2">
        <v>0</v>
      </c>
      <c r="F97" s="4" t="s">
        <v>18</v>
      </c>
      <c r="G97" s="2">
        <v>0.62</v>
      </c>
      <c r="H97" s="2">
        <v>640</v>
      </c>
      <c r="I97" s="2">
        <v>177</v>
      </c>
      <c r="J97" s="2">
        <v>4.4560000000000004</v>
      </c>
      <c r="K97" s="2">
        <v>4.5309999999999997</v>
      </c>
      <c r="L97" s="2">
        <v>4.6760000000000002</v>
      </c>
      <c r="M97" s="2">
        <v>4.6760000000000002</v>
      </c>
      <c r="N97" s="2">
        <v>0</v>
      </c>
      <c r="O97" s="2">
        <v>4.9470000000000001</v>
      </c>
      <c r="P97" s="2">
        <v>-0.27200000000000002</v>
      </c>
      <c r="Q97" s="2">
        <v>-5.5</v>
      </c>
    </row>
    <row r="98" spans="1:17" x14ac:dyDescent="0.35">
      <c r="A98" s="2">
        <v>80</v>
      </c>
      <c r="B98" s="2">
        <v>17</v>
      </c>
      <c r="C98" s="2" t="s">
        <v>17</v>
      </c>
      <c r="D98" s="2">
        <v>5.2104999999999997</v>
      </c>
      <c r="E98" s="2">
        <v>0</v>
      </c>
      <c r="F98" s="4" t="s">
        <v>18</v>
      </c>
      <c r="G98" s="2">
        <v>0.61</v>
      </c>
      <c r="H98" s="2">
        <v>640</v>
      </c>
      <c r="I98" s="2">
        <v>174</v>
      </c>
      <c r="J98" s="2">
        <v>4.7039999999999997</v>
      </c>
      <c r="K98" s="2">
        <v>4.7789999999999999</v>
      </c>
      <c r="L98" s="2">
        <v>4.9390000000000001</v>
      </c>
      <c r="M98" s="2">
        <v>4.9390000000000001</v>
      </c>
      <c r="N98" s="2">
        <v>0</v>
      </c>
      <c r="O98" s="2">
        <v>4.9470000000000001</v>
      </c>
      <c r="P98" s="2">
        <v>-8.0000000000000002E-3</v>
      </c>
      <c r="Q98" s="2">
        <v>-0.2</v>
      </c>
    </row>
    <row r="99" spans="1:17" x14ac:dyDescent="0.35">
      <c r="A99" s="2">
        <v>80</v>
      </c>
      <c r="B99" s="2">
        <v>18</v>
      </c>
      <c r="C99" s="2" t="s">
        <v>17</v>
      </c>
      <c r="D99" s="2">
        <v>5.4737</v>
      </c>
      <c r="E99" s="2">
        <v>0</v>
      </c>
      <c r="F99" s="4" t="s">
        <v>18</v>
      </c>
      <c r="G99" s="2">
        <v>0.56999999999999995</v>
      </c>
      <c r="H99" s="2">
        <v>640</v>
      </c>
      <c r="I99" s="2">
        <v>170</v>
      </c>
      <c r="J99" s="2">
        <v>4.9489999999999998</v>
      </c>
      <c r="K99" s="2">
        <v>5.024</v>
      </c>
      <c r="L99" s="2">
        <v>5.2030000000000003</v>
      </c>
      <c r="M99" s="2">
        <v>5.2030000000000003</v>
      </c>
      <c r="N99" s="2">
        <v>0</v>
      </c>
      <c r="O99" s="2">
        <v>5.2110000000000003</v>
      </c>
      <c r="P99" s="2">
        <v>-8.0000000000000002E-3</v>
      </c>
      <c r="Q99" s="2">
        <v>-0.2</v>
      </c>
    </row>
    <row r="100" spans="1:17" x14ac:dyDescent="0.35">
      <c r="A100" s="2">
        <v>80</v>
      </c>
      <c r="B100" s="2">
        <v>19</v>
      </c>
      <c r="C100" s="2" t="s">
        <v>17</v>
      </c>
      <c r="D100" s="2">
        <v>5.7367999999999997</v>
      </c>
      <c r="E100" s="2">
        <v>0</v>
      </c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35">
      <c r="A101" s="2">
        <v>80</v>
      </c>
      <c r="B101" s="2">
        <v>20</v>
      </c>
      <c r="C101" s="2" t="s">
        <v>17</v>
      </c>
      <c r="D101" s="2">
        <v>6</v>
      </c>
      <c r="E101" s="2">
        <v>0</v>
      </c>
      <c r="F101" s="4" t="s">
        <v>18</v>
      </c>
      <c r="G101" s="2">
        <v>0.43</v>
      </c>
      <c r="H101" s="2">
        <v>639</v>
      </c>
      <c r="I101" s="2">
        <v>167</v>
      </c>
      <c r="J101" s="2">
        <v>5.1950000000000003</v>
      </c>
      <c r="K101" s="2">
        <v>5.27</v>
      </c>
      <c r="L101" s="2">
        <v>5.4660000000000002</v>
      </c>
      <c r="M101" s="2">
        <v>5.4660000000000002</v>
      </c>
      <c r="N101" s="2">
        <v>8.0000000000000002E-3</v>
      </c>
      <c r="O101" s="2">
        <v>5.7370000000000001</v>
      </c>
      <c r="P101" s="2">
        <v>-0.27100000000000002</v>
      </c>
      <c r="Q101" s="2">
        <v>-4.7</v>
      </c>
    </row>
    <row r="102" spans="1:17" x14ac:dyDescent="0.35">
      <c r="A102" s="2">
        <v>80</v>
      </c>
      <c r="B102" s="2">
        <v>21</v>
      </c>
      <c r="C102" s="2" t="s">
        <v>19</v>
      </c>
      <c r="D102" s="2">
        <v>3</v>
      </c>
      <c r="E102" s="2">
        <v>-2.75</v>
      </c>
      <c r="F102" s="4" t="s">
        <v>18</v>
      </c>
      <c r="G102" s="2">
        <v>0.2</v>
      </c>
      <c r="H102" s="2">
        <v>639</v>
      </c>
      <c r="I102" s="2">
        <v>162</v>
      </c>
      <c r="J102" s="2">
        <v>5.6890000000000001</v>
      </c>
      <c r="K102" s="2">
        <v>5.7640000000000002</v>
      </c>
      <c r="L102" s="2">
        <v>5.9930000000000003</v>
      </c>
      <c r="M102" s="2">
        <v>5.9930000000000003</v>
      </c>
      <c r="N102" s="2">
        <v>8.9999999999999993E-3</v>
      </c>
      <c r="O102" s="2">
        <v>6</v>
      </c>
      <c r="P102" s="2">
        <v>-7.0000000000000001E-3</v>
      </c>
      <c r="Q102" s="2">
        <v>-0.1</v>
      </c>
    </row>
    <row r="103" spans="1:17" x14ac:dyDescent="0.35">
      <c r="A103" s="2">
        <v>80</v>
      </c>
      <c r="B103" s="2">
        <v>22</v>
      </c>
      <c r="C103" s="2" t="s">
        <v>19</v>
      </c>
      <c r="D103" s="2">
        <v>3</v>
      </c>
      <c r="E103" s="2">
        <v>-2.4605000000000001</v>
      </c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35">
      <c r="A104" s="2">
        <v>80</v>
      </c>
      <c r="B104" s="2">
        <v>23</v>
      </c>
      <c r="C104" s="2" t="s">
        <v>19</v>
      </c>
      <c r="D104" s="2">
        <v>3</v>
      </c>
      <c r="E104" s="2">
        <v>-2.1711</v>
      </c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35">
      <c r="A105" s="2">
        <v>80</v>
      </c>
      <c r="B105" s="2">
        <v>24</v>
      </c>
      <c r="C105" s="2" t="s">
        <v>19</v>
      </c>
      <c r="D105" s="2">
        <v>3</v>
      </c>
      <c r="E105" s="2">
        <v>-1.8815999999999999</v>
      </c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35">
      <c r="A106" s="2">
        <v>80</v>
      </c>
      <c r="B106" s="2">
        <v>25</v>
      </c>
      <c r="C106" s="2" t="s">
        <v>19</v>
      </c>
      <c r="D106" s="2">
        <v>3</v>
      </c>
      <c r="E106" s="2">
        <v>-1.5921000000000001</v>
      </c>
      <c r="F106" s="4" t="s">
        <v>18</v>
      </c>
      <c r="G106" s="2">
        <v>0.83</v>
      </c>
      <c r="H106" s="2">
        <v>1066</v>
      </c>
      <c r="I106" s="2">
        <v>212</v>
      </c>
      <c r="J106" s="2">
        <v>2.8940000000000001</v>
      </c>
      <c r="K106" s="2">
        <v>2.9689999999999999</v>
      </c>
      <c r="L106" s="2">
        <v>3.5470000000000002</v>
      </c>
      <c r="M106" s="2">
        <v>3.01</v>
      </c>
      <c r="N106" s="2">
        <v>-1.875</v>
      </c>
      <c r="O106" s="2">
        <v>3.3959999999999999</v>
      </c>
      <c r="P106" s="2">
        <v>0.15</v>
      </c>
      <c r="Q106" s="2">
        <v>4.4000000000000004</v>
      </c>
    </row>
    <row r="107" spans="1:17" x14ac:dyDescent="0.35">
      <c r="A107" s="2">
        <v>80</v>
      </c>
      <c r="B107" s="2">
        <v>26</v>
      </c>
      <c r="C107" s="2" t="s">
        <v>19</v>
      </c>
      <c r="D107" s="2">
        <v>3</v>
      </c>
      <c r="E107" s="2">
        <v>-1.3026</v>
      </c>
      <c r="F107" s="4" t="s">
        <v>18</v>
      </c>
      <c r="G107" s="2">
        <v>0.85</v>
      </c>
      <c r="H107" s="2">
        <v>934</v>
      </c>
      <c r="I107" s="2">
        <v>212</v>
      </c>
      <c r="J107" s="2">
        <v>2.8860000000000001</v>
      </c>
      <c r="K107" s="2">
        <v>2.9609999999999999</v>
      </c>
      <c r="L107" s="2">
        <v>3.2679999999999998</v>
      </c>
      <c r="M107" s="2">
        <v>3.0030000000000001</v>
      </c>
      <c r="N107" s="2">
        <v>-1.2909999999999999</v>
      </c>
      <c r="O107" s="2">
        <v>3.2709999999999999</v>
      </c>
      <c r="P107" s="2">
        <v>-2E-3</v>
      </c>
      <c r="Q107" s="2">
        <v>-0.1</v>
      </c>
    </row>
    <row r="108" spans="1:17" x14ac:dyDescent="0.35">
      <c r="A108" s="2">
        <v>80</v>
      </c>
      <c r="B108" s="2">
        <v>27</v>
      </c>
      <c r="C108" s="2" t="s">
        <v>19</v>
      </c>
      <c r="D108" s="2">
        <v>3</v>
      </c>
      <c r="E108" s="2">
        <v>-1.0132000000000001</v>
      </c>
      <c r="F108" s="4" t="s">
        <v>18</v>
      </c>
      <c r="G108" s="2">
        <v>0.85</v>
      </c>
      <c r="H108" s="2">
        <v>934</v>
      </c>
      <c r="I108" s="2">
        <v>212</v>
      </c>
      <c r="J108" s="2">
        <v>2.8860000000000001</v>
      </c>
      <c r="K108" s="2">
        <v>2.9609999999999999</v>
      </c>
      <c r="L108" s="2">
        <v>3.2679999999999998</v>
      </c>
      <c r="M108" s="2">
        <v>3.0030000000000001</v>
      </c>
      <c r="N108" s="2">
        <v>-1.2909999999999999</v>
      </c>
      <c r="O108" s="2">
        <v>3.2709999999999999</v>
      </c>
      <c r="P108" s="2">
        <v>-2E-3</v>
      </c>
      <c r="Q108" s="2">
        <v>-0.1</v>
      </c>
    </row>
    <row r="109" spans="1:17" x14ac:dyDescent="0.35">
      <c r="A109" s="2">
        <v>80</v>
      </c>
      <c r="B109" s="2">
        <v>28</v>
      </c>
      <c r="C109" s="2" t="s">
        <v>19</v>
      </c>
      <c r="D109" s="2">
        <v>3</v>
      </c>
      <c r="E109" s="2">
        <v>-0.72370000000000001</v>
      </c>
      <c r="F109" s="4" t="s">
        <v>18</v>
      </c>
      <c r="G109" s="2">
        <v>0.86</v>
      </c>
      <c r="H109" s="2">
        <v>870</v>
      </c>
      <c r="I109" s="2">
        <v>212</v>
      </c>
      <c r="J109" s="2">
        <v>2.879</v>
      </c>
      <c r="K109" s="2">
        <v>2.9540000000000002</v>
      </c>
      <c r="L109" s="2">
        <v>3.16</v>
      </c>
      <c r="M109" s="2">
        <v>2.996</v>
      </c>
      <c r="N109" s="2">
        <v>-1.008</v>
      </c>
      <c r="O109" s="2">
        <v>3.0859999999999999</v>
      </c>
      <c r="P109" s="2">
        <v>7.3999999999999996E-2</v>
      </c>
      <c r="Q109" s="2">
        <v>2.4</v>
      </c>
    </row>
    <row r="110" spans="1:17" x14ac:dyDescent="0.35">
      <c r="A110" s="2">
        <v>80</v>
      </c>
      <c r="B110" s="2">
        <v>29</v>
      </c>
      <c r="C110" s="2" t="s">
        <v>19</v>
      </c>
      <c r="D110" s="2">
        <v>3</v>
      </c>
      <c r="E110" s="2">
        <v>-0.43419999999999997</v>
      </c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35">
      <c r="A111" s="2">
        <v>80</v>
      </c>
      <c r="B111" s="2">
        <v>30</v>
      </c>
      <c r="C111" s="2" t="s">
        <v>19</v>
      </c>
      <c r="D111" s="2">
        <v>3</v>
      </c>
      <c r="E111" s="2">
        <v>-0.1447</v>
      </c>
      <c r="F111" s="4" t="s">
        <v>18</v>
      </c>
      <c r="G111" s="2">
        <v>0.84</v>
      </c>
      <c r="H111" s="2">
        <v>739</v>
      </c>
      <c r="I111" s="2">
        <v>212</v>
      </c>
      <c r="J111" s="2">
        <v>2.875</v>
      </c>
      <c r="K111" s="2">
        <v>2.95</v>
      </c>
      <c r="L111" s="2">
        <v>3.0219999999999998</v>
      </c>
      <c r="M111" s="2">
        <v>2.9910000000000001</v>
      </c>
      <c r="N111" s="2">
        <v>-0.433</v>
      </c>
      <c r="O111" s="2">
        <v>3.0310000000000001</v>
      </c>
      <c r="P111" s="2">
        <v>-8.9999999999999993E-3</v>
      </c>
      <c r="Q111" s="2">
        <v>-0.3</v>
      </c>
    </row>
    <row r="112" spans="1:17" x14ac:dyDescent="0.35">
      <c r="A112" s="2">
        <v>80</v>
      </c>
      <c r="B112" s="2">
        <v>31</v>
      </c>
      <c r="C112" s="2" t="s">
        <v>19</v>
      </c>
      <c r="D112" s="2">
        <v>3</v>
      </c>
      <c r="E112" s="2">
        <v>0.1447</v>
      </c>
      <c r="F112" s="4" t="s">
        <v>18</v>
      </c>
      <c r="G112" s="2">
        <v>0.77</v>
      </c>
      <c r="H112" s="2">
        <v>673</v>
      </c>
      <c r="I112" s="2">
        <v>212</v>
      </c>
      <c r="J112" s="2">
        <v>2.8740000000000001</v>
      </c>
      <c r="K112" s="2">
        <v>2.9489999999999998</v>
      </c>
      <c r="L112" s="2">
        <v>2.9929999999999999</v>
      </c>
      <c r="M112" s="2">
        <v>2.99</v>
      </c>
      <c r="N112" s="2">
        <v>-0.14399999999999999</v>
      </c>
      <c r="O112" s="2">
        <v>3.0030000000000001</v>
      </c>
      <c r="P112" s="2">
        <v>-0.01</v>
      </c>
      <c r="Q112" s="2">
        <v>-0.3</v>
      </c>
    </row>
    <row r="113" spans="1:17" x14ac:dyDescent="0.35">
      <c r="A113" s="2">
        <v>80</v>
      </c>
      <c r="B113" s="2">
        <v>32</v>
      </c>
      <c r="C113" s="2" t="s">
        <v>19</v>
      </c>
      <c r="D113" s="2">
        <v>3</v>
      </c>
      <c r="E113" s="2">
        <v>0.43419999999999997</v>
      </c>
      <c r="F113" s="4" t="s">
        <v>18</v>
      </c>
      <c r="G113" s="2">
        <v>0.67</v>
      </c>
      <c r="H113" s="2">
        <v>607</v>
      </c>
      <c r="I113" s="2">
        <v>212</v>
      </c>
      <c r="J113" s="2">
        <v>2.8740000000000001</v>
      </c>
      <c r="K113" s="2">
        <v>2.9489999999999998</v>
      </c>
      <c r="L113" s="2">
        <v>2.9940000000000002</v>
      </c>
      <c r="M113" s="2">
        <v>2.99</v>
      </c>
      <c r="N113" s="2">
        <v>0.14399999999999999</v>
      </c>
      <c r="O113" s="2">
        <v>3.0030000000000001</v>
      </c>
      <c r="P113" s="2">
        <v>-0.01</v>
      </c>
      <c r="Q113" s="2">
        <v>-0.3</v>
      </c>
    </row>
    <row r="114" spans="1:17" x14ac:dyDescent="0.35">
      <c r="A114" s="2">
        <v>80</v>
      </c>
      <c r="B114" s="2">
        <v>33</v>
      </c>
      <c r="C114" s="2" t="s">
        <v>19</v>
      </c>
      <c r="D114" s="2">
        <v>3</v>
      </c>
      <c r="E114" s="2">
        <v>0.72370000000000001</v>
      </c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x14ac:dyDescent="0.35">
      <c r="A115" s="2">
        <v>80</v>
      </c>
      <c r="B115" s="2">
        <v>34</v>
      </c>
      <c r="C115" s="2" t="s">
        <v>19</v>
      </c>
      <c r="D115" s="2">
        <v>3</v>
      </c>
      <c r="E115" s="2">
        <v>1.0132000000000001</v>
      </c>
      <c r="F115" s="4" t="s">
        <v>18</v>
      </c>
      <c r="G115" s="2">
        <v>0.81</v>
      </c>
      <c r="H115" s="2">
        <v>476</v>
      </c>
      <c r="I115" s="2">
        <v>212</v>
      </c>
      <c r="J115" s="2">
        <v>2.8780000000000001</v>
      </c>
      <c r="K115" s="2">
        <v>2.9529999999999998</v>
      </c>
      <c r="L115" s="2">
        <v>3.0790000000000002</v>
      </c>
      <c r="M115" s="2">
        <v>2.9940000000000002</v>
      </c>
      <c r="N115" s="2">
        <v>0.71799999999999997</v>
      </c>
      <c r="O115" s="2">
        <v>3.1659999999999999</v>
      </c>
      <c r="P115" s="2">
        <v>-8.6999999999999994E-2</v>
      </c>
      <c r="Q115" s="2">
        <v>-2.8</v>
      </c>
    </row>
    <row r="116" spans="1:17" x14ac:dyDescent="0.35">
      <c r="A116" s="2">
        <v>80</v>
      </c>
      <c r="B116" s="2">
        <v>35</v>
      </c>
      <c r="C116" s="2" t="s">
        <v>19</v>
      </c>
      <c r="D116" s="2">
        <v>3</v>
      </c>
      <c r="E116" s="2">
        <v>1.3026</v>
      </c>
      <c r="F116" s="4" t="s">
        <v>18</v>
      </c>
      <c r="G116" s="2">
        <v>0.77</v>
      </c>
      <c r="H116" s="2">
        <v>409</v>
      </c>
      <c r="I116" s="2">
        <v>211</v>
      </c>
      <c r="J116" s="2">
        <v>2.8780000000000001</v>
      </c>
      <c r="K116" s="2">
        <v>2.9529999999999998</v>
      </c>
      <c r="L116" s="2">
        <v>3.1619999999999999</v>
      </c>
      <c r="M116" s="2">
        <v>2.996</v>
      </c>
      <c r="N116" s="2">
        <v>1.012</v>
      </c>
      <c r="O116" s="2">
        <v>3.2709999999999999</v>
      </c>
      <c r="P116" s="2">
        <v>-0.109</v>
      </c>
      <c r="Q116" s="2">
        <v>-3.3</v>
      </c>
    </row>
    <row r="117" spans="1:17" x14ac:dyDescent="0.35">
      <c r="A117" s="2">
        <v>80</v>
      </c>
      <c r="B117" s="2">
        <v>36</v>
      </c>
      <c r="C117" s="2" t="s">
        <v>19</v>
      </c>
      <c r="D117" s="2">
        <v>3</v>
      </c>
      <c r="E117" s="2">
        <v>1.5921000000000001</v>
      </c>
      <c r="F117" s="4" t="s">
        <v>18</v>
      </c>
      <c r="G117" s="2">
        <v>0.8</v>
      </c>
      <c r="H117" s="2">
        <v>344</v>
      </c>
      <c r="I117" s="2">
        <v>212</v>
      </c>
      <c r="J117" s="2">
        <v>2.8839999999999999</v>
      </c>
      <c r="K117" s="2">
        <v>2.9590000000000001</v>
      </c>
      <c r="L117" s="2">
        <v>3.27</v>
      </c>
      <c r="M117" s="2">
        <v>3.0009999999999999</v>
      </c>
      <c r="N117" s="2">
        <v>1.2989999999999999</v>
      </c>
      <c r="O117" s="2">
        <v>3.2709999999999999</v>
      </c>
      <c r="P117" s="2">
        <v>-1E-3</v>
      </c>
      <c r="Q117" s="2">
        <v>0</v>
      </c>
    </row>
    <row r="118" spans="1:17" x14ac:dyDescent="0.35">
      <c r="A118" s="2">
        <v>80</v>
      </c>
      <c r="B118" s="2">
        <v>37</v>
      </c>
      <c r="C118" s="2" t="s">
        <v>19</v>
      </c>
      <c r="D118" s="2">
        <v>3</v>
      </c>
      <c r="E118" s="2">
        <v>1.8815999999999999</v>
      </c>
      <c r="F118" s="4" t="s">
        <v>18</v>
      </c>
      <c r="G118" s="2">
        <v>0.77</v>
      </c>
      <c r="H118" s="2">
        <v>277</v>
      </c>
      <c r="I118" s="2">
        <v>212</v>
      </c>
      <c r="J118" s="2">
        <v>2.8860000000000001</v>
      </c>
      <c r="K118" s="2">
        <v>2.9609999999999999</v>
      </c>
      <c r="L118" s="2">
        <v>3.399</v>
      </c>
      <c r="M118" s="2">
        <v>3.0019999999999998</v>
      </c>
      <c r="N118" s="2">
        <v>1.5940000000000001</v>
      </c>
      <c r="O118" s="2">
        <v>3.5409999999999999</v>
      </c>
      <c r="P118" s="2">
        <v>-0.14299999999999999</v>
      </c>
      <c r="Q118" s="2">
        <v>-4</v>
      </c>
    </row>
    <row r="119" spans="1:17" x14ac:dyDescent="0.35">
      <c r="A119" s="2">
        <v>80</v>
      </c>
      <c r="B119" s="2">
        <v>38</v>
      </c>
      <c r="C119" s="2" t="s">
        <v>19</v>
      </c>
      <c r="D119" s="2">
        <v>3</v>
      </c>
      <c r="E119" s="2">
        <v>2.1711</v>
      </c>
      <c r="F119" s="4" t="s">
        <v>18</v>
      </c>
      <c r="G119" s="2">
        <v>0.78</v>
      </c>
      <c r="H119" s="2">
        <v>211</v>
      </c>
      <c r="I119" s="2">
        <v>211</v>
      </c>
      <c r="J119" s="2">
        <v>2.8879999999999999</v>
      </c>
      <c r="K119" s="2">
        <v>2.9630000000000001</v>
      </c>
      <c r="L119" s="2">
        <v>3.548</v>
      </c>
      <c r="M119" s="2">
        <v>3.0059999999999998</v>
      </c>
      <c r="N119" s="2">
        <v>1.885</v>
      </c>
      <c r="O119" s="2">
        <v>3.5409999999999999</v>
      </c>
      <c r="P119" s="2">
        <v>7.0000000000000001E-3</v>
      </c>
      <c r="Q119" s="2">
        <v>0.2</v>
      </c>
    </row>
    <row r="120" spans="1:17" x14ac:dyDescent="0.35">
      <c r="A120" s="2">
        <v>80</v>
      </c>
      <c r="B120" s="2">
        <v>39</v>
      </c>
      <c r="C120" s="2" t="s">
        <v>19</v>
      </c>
      <c r="D120" s="2">
        <v>3</v>
      </c>
      <c r="E120" s="2">
        <v>2.4605000000000001</v>
      </c>
      <c r="F120" s="4" t="s">
        <v>18</v>
      </c>
      <c r="G120" s="2">
        <v>0.77</v>
      </c>
      <c r="H120" s="2">
        <v>78</v>
      </c>
      <c r="I120" s="2">
        <v>211</v>
      </c>
      <c r="J120" s="2">
        <v>2.8929999999999998</v>
      </c>
      <c r="K120" s="2">
        <v>2.968</v>
      </c>
      <c r="L120" s="2">
        <v>3.8959999999999999</v>
      </c>
      <c r="M120" s="2">
        <v>3.0110000000000001</v>
      </c>
      <c r="N120" s="2">
        <v>2.4729999999999999</v>
      </c>
      <c r="O120" s="2">
        <v>3.88</v>
      </c>
      <c r="P120" s="2">
        <v>1.6E-2</v>
      </c>
      <c r="Q120" s="2">
        <v>0.4</v>
      </c>
    </row>
    <row r="121" spans="1:17" x14ac:dyDescent="0.35">
      <c r="A121" s="2">
        <v>80</v>
      </c>
      <c r="B121" s="2">
        <v>40</v>
      </c>
      <c r="C121" s="2" t="s">
        <v>19</v>
      </c>
      <c r="D121" s="2">
        <v>3</v>
      </c>
      <c r="E121" s="2">
        <v>2.75</v>
      </c>
      <c r="F121" s="4" t="s">
        <v>18</v>
      </c>
      <c r="G121" s="2">
        <v>0.77</v>
      </c>
      <c r="H121" s="2">
        <v>78</v>
      </c>
      <c r="I121" s="2">
        <v>211</v>
      </c>
      <c r="J121" s="2">
        <v>2.8929999999999998</v>
      </c>
      <c r="K121" s="2">
        <v>2.968</v>
      </c>
      <c r="L121" s="2">
        <v>3.8959999999999999</v>
      </c>
      <c r="M121" s="2">
        <v>3.0110000000000001</v>
      </c>
      <c r="N121" s="2">
        <v>2.4729999999999999</v>
      </c>
      <c r="O121" s="2">
        <v>3.88</v>
      </c>
      <c r="P121" s="2">
        <v>1.6E-2</v>
      </c>
      <c r="Q121" s="2">
        <v>0.4</v>
      </c>
    </row>
    <row r="122" spans="1:17" x14ac:dyDescent="0.35">
      <c r="A122" s="2">
        <v>70</v>
      </c>
      <c r="B122" s="2">
        <v>1</v>
      </c>
      <c r="C122" s="2" t="s">
        <v>17</v>
      </c>
      <c r="D122" s="2">
        <v>1</v>
      </c>
      <c r="E122" s="2">
        <v>0</v>
      </c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x14ac:dyDescent="0.35">
      <c r="A123" s="2">
        <v>70</v>
      </c>
      <c r="B123" s="2">
        <v>2</v>
      </c>
      <c r="C123" s="2" t="s">
        <v>17</v>
      </c>
      <c r="D123" s="2">
        <v>1.2632000000000001</v>
      </c>
      <c r="E123" s="2">
        <v>0</v>
      </c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x14ac:dyDescent="0.35">
      <c r="A124" s="2">
        <v>70</v>
      </c>
      <c r="B124" s="2">
        <v>3</v>
      </c>
      <c r="C124" s="2" t="s">
        <v>17</v>
      </c>
      <c r="D124" s="2">
        <v>1.5263</v>
      </c>
      <c r="E124" s="2">
        <v>0</v>
      </c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x14ac:dyDescent="0.35">
      <c r="A125" s="2">
        <v>70</v>
      </c>
      <c r="B125" s="2">
        <v>4</v>
      </c>
      <c r="C125" s="2" t="s">
        <v>17</v>
      </c>
      <c r="D125" s="2">
        <v>1.7895000000000001</v>
      </c>
      <c r="E125" s="2">
        <v>0</v>
      </c>
      <c r="F125" s="4" t="s">
        <v>18</v>
      </c>
      <c r="G125" s="2">
        <v>0.9</v>
      </c>
      <c r="H125" s="2">
        <v>639</v>
      </c>
      <c r="I125" s="2">
        <v>303</v>
      </c>
      <c r="J125" s="2">
        <v>1.4890000000000001</v>
      </c>
      <c r="K125" s="2">
        <v>1.5640000000000001</v>
      </c>
      <c r="L125" s="2">
        <v>1.512</v>
      </c>
      <c r="M125" s="2">
        <v>1.512</v>
      </c>
      <c r="N125" s="2">
        <v>2E-3</v>
      </c>
      <c r="O125" s="2">
        <v>1.526</v>
      </c>
      <c r="P125" s="2">
        <v>-1.4E-2</v>
      </c>
      <c r="Q125" s="2">
        <v>-0.9</v>
      </c>
    </row>
    <row r="126" spans="1:17" x14ac:dyDescent="0.35">
      <c r="A126" s="2">
        <v>70</v>
      </c>
      <c r="B126" s="2">
        <v>5</v>
      </c>
      <c r="C126" s="2" t="s">
        <v>17</v>
      </c>
      <c r="D126" s="2">
        <v>2.0526</v>
      </c>
      <c r="E126" s="2">
        <v>0</v>
      </c>
      <c r="F126" s="4" t="s">
        <v>18</v>
      </c>
      <c r="G126" s="2">
        <v>0.89</v>
      </c>
      <c r="H126" s="2">
        <v>639</v>
      </c>
      <c r="I126" s="2">
        <v>277</v>
      </c>
      <c r="J126" s="2">
        <v>1.7370000000000001</v>
      </c>
      <c r="K126" s="2">
        <v>1.8120000000000001</v>
      </c>
      <c r="L126" s="2">
        <v>1.776</v>
      </c>
      <c r="M126" s="2">
        <v>1.776</v>
      </c>
      <c r="N126" s="2">
        <v>3.0000000000000001E-3</v>
      </c>
      <c r="O126" s="2">
        <v>1.79</v>
      </c>
      <c r="P126" s="2">
        <v>-1.2999999999999999E-2</v>
      </c>
      <c r="Q126" s="2">
        <v>-0.7</v>
      </c>
    </row>
    <row r="127" spans="1:17" x14ac:dyDescent="0.35">
      <c r="A127" s="2">
        <v>70</v>
      </c>
      <c r="B127" s="2">
        <v>6</v>
      </c>
      <c r="C127" s="2" t="s">
        <v>17</v>
      </c>
      <c r="D127" s="2">
        <v>2.3157999999999999</v>
      </c>
      <c r="E127" s="2">
        <v>0</v>
      </c>
      <c r="F127" s="4" t="s">
        <v>18</v>
      </c>
      <c r="G127" s="2">
        <v>0.87</v>
      </c>
      <c r="H127" s="2">
        <v>639</v>
      </c>
      <c r="I127" s="2">
        <v>257</v>
      </c>
      <c r="J127" s="2">
        <v>1.984</v>
      </c>
      <c r="K127" s="2">
        <v>2.0590000000000002</v>
      </c>
      <c r="L127" s="2">
        <v>2.04</v>
      </c>
      <c r="M127" s="2">
        <v>2.04</v>
      </c>
      <c r="N127" s="2">
        <v>3.0000000000000001E-3</v>
      </c>
      <c r="O127" s="2">
        <v>2.3159999999999998</v>
      </c>
      <c r="P127" s="2">
        <v>-0.27500000000000002</v>
      </c>
      <c r="Q127" s="2">
        <v>-11.9</v>
      </c>
    </row>
    <row r="128" spans="1:17" x14ac:dyDescent="0.35">
      <c r="A128" s="2">
        <v>70</v>
      </c>
      <c r="B128" s="2">
        <v>7</v>
      </c>
      <c r="C128" s="2" t="s">
        <v>17</v>
      </c>
      <c r="D128" s="2">
        <v>2.5789</v>
      </c>
      <c r="E128" s="2">
        <v>0</v>
      </c>
      <c r="F128" s="4" t="s">
        <v>18</v>
      </c>
      <c r="G128" s="2">
        <v>0.37</v>
      </c>
      <c r="H128" s="2">
        <v>640</v>
      </c>
      <c r="I128" s="2">
        <v>241</v>
      </c>
      <c r="J128" s="2">
        <v>2.2320000000000002</v>
      </c>
      <c r="K128" s="2">
        <v>2.3069999999999999</v>
      </c>
      <c r="L128" s="2">
        <v>2.3039999999999998</v>
      </c>
      <c r="M128" s="2">
        <v>2.3039999999999998</v>
      </c>
      <c r="N128" s="2">
        <v>0</v>
      </c>
      <c r="O128" s="2">
        <v>2.3159999999999998</v>
      </c>
      <c r="P128" s="2">
        <v>-1.2E-2</v>
      </c>
      <c r="Q128" s="2">
        <v>-0.5</v>
      </c>
    </row>
    <row r="129" spans="1:17" x14ac:dyDescent="0.35">
      <c r="A129" s="2">
        <v>70</v>
      </c>
      <c r="B129" s="2">
        <v>8</v>
      </c>
      <c r="C129" s="2" t="s">
        <v>17</v>
      </c>
      <c r="D129" s="2">
        <v>2.8420999999999998</v>
      </c>
      <c r="E129" s="2">
        <v>0</v>
      </c>
      <c r="F129" s="4" t="s">
        <v>18</v>
      </c>
      <c r="G129" s="2">
        <v>0.81</v>
      </c>
      <c r="H129" s="2">
        <v>640</v>
      </c>
      <c r="I129" s="2">
        <v>227</v>
      </c>
      <c r="J129" s="2">
        <v>2.4769999999999999</v>
      </c>
      <c r="K129" s="2">
        <v>2.552</v>
      </c>
      <c r="L129" s="2">
        <v>2.5680000000000001</v>
      </c>
      <c r="M129" s="2">
        <v>2.5680000000000001</v>
      </c>
      <c r="N129" s="2">
        <v>0</v>
      </c>
      <c r="O129" s="2">
        <v>2.5790000000000002</v>
      </c>
      <c r="P129" s="2">
        <v>-1.0999999999999999E-2</v>
      </c>
      <c r="Q129" s="2">
        <v>-0.4</v>
      </c>
    </row>
    <row r="130" spans="1:17" x14ac:dyDescent="0.35">
      <c r="A130" s="2">
        <v>70</v>
      </c>
      <c r="B130" s="2">
        <v>9</v>
      </c>
      <c r="C130" s="2" t="s">
        <v>17</v>
      </c>
      <c r="D130" s="2">
        <v>3.1053000000000002</v>
      </c>
      <c r="E130" s="2">
        <v>0</v>
      </c>
      <c r="F130" s="4" t="s">
        <v>18</v>
      </c>
      <c r="G130" s="2">
        <v>0.54</v>
      </c>
      <c r="H130" s="2">
        <v>640</v>
      </c>
      <c r="I130" s="2">
        <v>218</v>
      </c>
      <c r="J130" s="2">
        <v>2.9870000000000001</v>
      </c>
      <c r="K130" s="2">
        <v>3.0619999999999998</v>
      </c>
      <c r="L130" s="2">
        <v>3.0950000000000002</v>
      </c>
      <c r="M130" s="2">
        <v>3.0950000000000002</v>
      </c>
      <c r="N130" s="2">
        <v>0</v>
      </c>
      <c r="O130" s="2">
        <v>3.105</v>
      </c>
      <c r="P130" s="2">
        <v>-0.01</v>
      </c>
      <c r="Q130" s="2">
        <v>-0.3</v>
      </c>
    </row>
    <row r="131" spans="1:17" x14ac:dyDescent="0.35">
      <c r="A131" s="2">
        <v>70</v>
      </c>
      <c r="B131" s="2">
        <v>10</v>
      </c>
      <c r="C131" s="2" t="s">
        <v>17</v>
      </c>
      <c r="D131" s="2">
        <v>3.3683999999999998</v>
      </c>
      <c r="E131" s="2">
        <v>0</v>
      </c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x14ac:dyDescent="0.35">
      <c r="A132" s="2">
        <v>70</v>
      </c>
      <c r="B132" s="2">
        <v>11</v>
      </c>
      <c r="C132" s="2" t="s">
        <v>17</v>
      </c>
      <c r="D132" s="2">
        <v>3.6316000000000002</v>
      </c>
      <c r="E132" s="2">
        <v>0</v>
      </c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x14ac:dyDescent="0.35">
      <c r="A133" s="2">
        <v>70</v>
      </c>
      <c r="B133" s="2">
        <v>12</v>
      </c>
      <c r="C133" s="2" t="s">
        <v>17</v>
      </c>
      <c r="D133" s="2">
        <v>3.8946999999999998</v>
      </c>
      <c r="E133" s="2">
        <v>0</v>
      </c>
      <c r="F133" s="4" t="s">
        <v>18</v>
      </c>
      <c r="G133" s="2">
        <v>0.73</v>
      </c>
      <c r="H133" s="2">
        <v>640</v>
      </c>
      <c r="I133" s="2">
        <v>194</v>
      </c>
      <c r="J133" s="2">
        <v>3.4649999999999999</v>
      </c>
      <c r="K133" s="2">
        <v>3.54</v>
      </c>
      <c r="L133" s="2">
        <v>3.6219999999999999</v>
      </c>
      <c r="M133" s="2">
        <v>3.6219999999999999</v>
      </c>
      <c r="N133" s="2">
        <v>0</v>
      </c>
      <c r="O133" s="2">
        <v>3.6320000000000001</v>
      </c>
      <c r="P133" s="2">
        <v>-8.9999999999999993E-3</v>
      </c>
      <c r="Q133" s="2">
        <v>-0.3</v>
      </c>
    </row>
    <row r="134" spans="1:17" x14ac:dyDescent="0.35">
      <c r="A134" s="2">
        <v>70</v>
      </c>
      <c r="B134" s="2">
        <v>13</v>
      </c>
      <c r="C134" s="2" t="s">
        <v>17</v>
      </c>
      <c r="D134" s="2">
        <v>4.1578999999999997</v>
      </c>
      <c r="E134" s="2">
        <v>0</v>
      </c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x14ac:dyDescent="0.35">
      <c r="A135" s="2">
        <v>70</v>
      </c>
      <c r="B135" s="2">
        <v>14</v>
      </c>
      <c r="C135" s="2" t="s">
        <v>17</v>
      </c>
      <c r="D135" s="2">
        <v>4.4211</v>
      </c>
      <c r="E135" s="2">
        <v>0</v>
      </c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x14ac:dyDescent="0.35">
      <c r="A136" s="2">
        <v>70</v>
      </c>
      <c r="B136" s="2">
        <v>15</v>
      </c>
      <c r="C136" s="2" t="s">
        <v>17</v>
      </c>
      <c r="D136" s="2">
        <v>4.6841999999999997</v>
      </c>
      <c r="E136" s="2">
        <v>0</v>
      </c>
      <c r="F136" s="4" t="s">
        <v>18</v>
      </c>
      <c r="G136" s="2">
        <v>0.76</v>
      </c>
      <c r="H136" s="2">
        <v>640</v>
      </c>
      <c r="I136" s="2">
        <v>184</v>
      </c>
      <c r="J136" s="2">
        <v>3.96</v>
      </c>
      <c r="K136" s="2">
        <v>4.0350000000000001</v>
      </c>
      <c r="L136" s="2">
        <v>4.149</v>
      </c>
      <c r="M136" s="2">
        <v>4.149</v>
      </c>
      <c r="N136" s="2">
        <v>0</v>
      </c>
      <c r="O136" s="2">
        <v>4.1580000000000004</v>
      </c>
      <c r="P136" s="2">
        <v>-8.9999999999999993E-3</v>
      </c>
      <c r="Q136" s="2">
        <v>-0.2</v>
      </c>
    </row>
    <row r="137" spans="1:17" x14ac:dyDescent="0.35">
      <c r="A137" s="2">
        <v>70</v>
      </c>
      <c r="B137" s="2">
        <v>16</v>
      </c>
      <c r="C137" s="2" t="s">
        <v>17</v>
      </c>
      <c r="D137" s="2">
        <v>4.9474</v>
      </c>
      <c r="E137" s="2">
        <v>0</v>
      </c>
      <c r="F137" s="4" t="s">
        <v>18</v>
      </c>
      <c r="G137" s="2">
        <v>0.65</v>
      </c>
      <c r="H137" s="2">
        <v>640</v>
      </c>
      <c r="I137" s="2">
        <v>177</v>
      </c>
      <c r="J137" s="2">
        <v>4.4560000000000004</v>
      </c>
      <c r="K137" s="2">
        <v>4.5309999999999997</v>
      </c>
      <c r="L137" s="2">
        <v>4.6760000000000002</v>
      </c>
      <c r="M137" s="2">
        <v>4.6760000000000002</v>
      </c>
      <c r="N137" s="2">
        <v>0</v>
      </c>
      <c r="O137" s="2">
        <v>4.6840000000000002</v>
      </c>
      <c r="P137" s="2">
        <v>-8.0000000000000002E-3</v>
      </c>
      <c r="Q137" s="2">
        <v>-0.2</v>
      </c>
    </row>
    <row r="138" spans="1:17" x14ac:dyDescent="0.35">
      <c r="A138" s="2">
        <v>70</v>
      </c>
      <c r="B138" s="2">
        <v>17</v>
      </c>
      <c r="C138" s="2" t="s">
        <v>17</v>
      </c>
      <c r="D138" s="2">
        <v>5.2104999999999997</v>
      </c>
      <c r="E138" s="2">
        <v>0</v>
      </c>
      <c r="F138" s="4" t="s">
        <v>18</v>
      </c>
      <c r="G138" s="2">
        <v>0.64</v>
      </c>
      <c r="H138" s="2">
        <v>640</v>
      </c>
      <c r="I138" s="2">
        <v>173</v>
      </c>
      <c r="J138" s="2">
        <v>4.702</v>
      </c>
      <c r="K138" s="2">
        <v>4.7770000000000001</v>
      </c>
      <c r="L138" s="2">
        <v>4.9390000000000001</v>
      </c>
      <c r="M138" s="2">
        <v>4.9390000000000001</v>
      </c>
      <c r="N138" s="2">
        <v>0</v>
      </c>
      <c r="O138" s="2">
        <v>4.9470000000000001</v>
      </c>
      <c r="P138" s="2">
        <v>-8.0000000000000002E-3</v>
      </c>
      <c r="Q138" s="2">
        <v>-0.2</v>
      </c>
    </row>
    <row r="139" spans="1:17" x14ac:dyDescent="0.35">
      <c r="A139" s="2">
        <v>70</v>
      </c>
      <c r="B139" s="2">
        <v>18</v>
      </c>
      <c r="C139" s="2" t="s">
        <v>17</v>
      </c>
      <c r="D139" s="2">
        <v>5.4737</v>
      </c>
      <c r="E139" s="2">
        <v>0</v>
      </c>
      <c r="F139" s="4" t="s">
        <v>18</v>
      </c>
      <c r="G139" s="2">
        <v>0.61</v>
      </c>
      <c r="H139" s="2">
        <v>640</v>
      </c>
      <c r="I139" s="2">
        <v>169</v>
      </c>
      <c r="J139" s="2">
        <v>4.9459999999999997</v>
      </c>
      <c r="K139" s="2">
        <v>5.0209999999999999</v>
      </c>
      <c r="L139" s="2">
        <v>5.2030000000000003</v>
      </c>
      <c r="M139" s="2">
        <v>5.2030000000000003</v>
      </c>
      <c r="N139" s="2">
        <v>0</v>
      </c>
      <c r="O139" s="2">
        <v>5.4740000000000002</v>
      </c>
      <c r="P139" s="2">
        <v>-0.27100000000000002</v>
      </c>
      <c r="Q139" s="2">
        <v>-5</v>
      </c>
    </row>
    <row r="140" spans="1:17" x14ac:dyDescent="0.35">
      <c r="A140" s="2">
        <v>70</v>
      </c>
      <c r="B140" s="2">
        <v>19</v>
      </c>
      <c r="C140" s="2" t="s">
        <v>17</v>
      </c>
      <c r="D140" s="2">
        <v>5.7367999999999997</v>
      </c>
      <c r="E140" s="2">
        <v>0</v>
      </c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x14ac:dyDescent="0.35">
      <c r="A141" s="2">
        <v>70</v>
      </c>
      <c r="B141" s="2">
        <v>20</v>
      </c>
      <c r="C141" s="2" t="s">
        <v>17</v>
      </c>
      <c r="D141" s="2">
        <v>6</v>
      </c>
      <c r="E141" s="2">
        <v>0</v>
      </c>
      <c r="F141" s="4" t="s">
        <v>18</v>
      </c>
      <c r="G141" s="2">
        <v>0.17</v>
      </c>
      <c r="H141" s="2">
        <v>639</v>
      </c>
      <c r="I141" s="2">
        <v>164</v>
      </c>
      <c r="J141" s="2">
        <v>5.4409999999999998</v>
      </c>
      <c r="K141" s="2">
        <v>5.516</v>
      </c>
      <c r="L141" s="2">
        <v>5.7290000000000001</v>
      </c>
      <c r="M141" s="2">
        <v>5.7290000000000001</v>
      </c>
      <c r="N141" s="2">
        <v>8.0000000000000002E-3</v>
      </c>
      <c r="O141" s="2">
        <v>5.7370000000000001</v>
      </c>
      <c r="P141" s="2">
        <v>-7.0000000000000001E-3</v>
      </c>
      <c r="Q141" s="2">
        <v>-0.1</v>
      </c>
    </row>
    <row r="142" spans="1:17" x14ac:dyDescent="0.35">
      <c r="A142" s="2">
        <v>70</v>
      </c>
      <c r="B142" s="2">
        <v>21</v>
      </c>
      <c r="C142" s="2" t="s">
        <v>19</v>
      </c>
      <c r="D142" s="2">
        <v>3</v>
      </c>
      <c r="E142" s="2">
        <v>-2.75</v>
      </c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x14ac:dyDescent="0.35">
      <c r="A143" s="2">
        <v>70</v>
      </c>
      <c r="B143" s="2">
        <v>22</v>
      </c>
      <c r="C143" s="2" t="s">
        <v>19</v>
      </c>
      <c r="D143" s="2">
        <v>3</v>
      </c>
      <c r="E143" s="2">
        <v>-2.4605000000000001</v>
      </c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x14ac:dyDescent="0.35">
      <c r="A144" s="2">
        <v>70</v>
      </c>
      <c r="B144" s="2">
        <v>23</v>
      </c>
      <c r="C144" s="2" t="s">
        <v>19</v>
      </c>
      <c r="D144" s="2">
        <v>3</v>
      </c>
      <c r="E144" s="2">
        <v>-2.1711</v>
      </c>
      <c r="F144" s="4" t="s">
        <v>18</v>
      </c>
      <c r="G144" s="2">
        <v>0.83</v>
      </c>
      <c r="H144" s="2">
        <v>1200</v>
      </c>
      <c r="I144" s="2">
        <v>211</v>
      </c>
      <c r="J144" s="2">
        <v>2.895</v>
      </c>
      <c r="K144" s="2">
        <v>2.97</v>
      </c>
      <c r="L144" s="2">
        <v>3.8940000000000001</v>
      </c>
      <c r="M144" s="2">
        <v>3.0129999999999999</v>
      </c>
      <c r="N144" s="2">
        <v>-2.4660000000000002</v>
      </c>
      <c r="O144" s="2">
        <v>3.88</v>
      </c>
      <c r="P144" s="2">
        <v>1.4E-2</v>
      </c>
      <c r="Q144" s="2">
        <v>0.4</v>
      </c>
    </row>
    <row r="145" spans="1:17" x14ac:dyDescent="0.35">
      <c r="A145" s="2">
        <v>70</v>
      </c>
      <c r="B145" s="2">
        <v>24</v>
      </c>
      <c r="C145" s="2" t="s">
        <v>19</v>
      </c>
      <c r="D145" s="2">
        <v>3</v>
      </c>
      <c r="E145" s="2">
        <v>-1.8815999999999999</v>
      </c>
      <c r="F145" s="4" t="s">
        <v>18</v>
      </c>
      <c r="G145" s="2">
        <v>0.82</v>
      </c>
      <c r="H145" s="2">
        <v>1133</v>
      </c>
      <c r="I145" s="2">
        <v>211</v>
      </c>
      <c r="J145" s="2">
        <v>2.8940000000000001</v>
      </c>
      <c r="K145" s="2">
        <v>2.9689999999999999</v>
      </c>
      <c r="L145" s="2">
        <v>3.7130000000000001</v>
      </c>
      <c r="M145" s="2">
        <v>3.012</v>
      </c>
      <c r="N145" s="2">
        <v>-2.17</v>
      </c>
      <c r="O145" s="2">
        <v>3.5409999999999999</v>
      </c>
      <c r="P145" s="2">
        <v>0.17100000000000001</v>
      </c>
      <c r="Q145" s="2">
        <v>4.8</v>
      </c>
    </row>
    <row r="146" spans="1:17" x14ac:dyDescent="0.35">
      <c r="A146" s="2">
        <v>70</v>
      </c>
      <c r="B146" s="2">
        <v>25</v>
      </c>
      <c r="C146" s="2" t="s">
        <v>19</v>
      </c>
      <c r="D146" s="2">
        <v>3</v>
      </c>
      <c r="E146" s="2">
        <v>-1.5921000000000001</v>
      </c>
      <c r="F146" s="4" t="s">
        <v>18</v>
      </c>
      <c r="G146" s="2">
        <v>0.82</v>
      </c>
      <c r="H146" s="2">
        <v>999</v>
      </c>
      <c r="I146" s="2">
        <v>212</v>
      </c>
      <c r="J146" s="2">
        <v>2.8929999999999998</v>
      </c>
      <c r="K146" s="2">
        <v>2.968</v>
      </c>
      <c r="L146" s="2">
        <v>3.399</v>
      </c>
      <c r="M146" s="2">
        <v>3.0089999999999999</v>
      </c>
      <c r="N146" s="2">
        <v>-1.58</v>
      </c>
      <c r="O146" s="2">
        <v>3.3959999999999999</v>
      </c>
      <c r="P146" s="2">
        <v>2E-3</v>
      </c>
      <c r="Q146" s="2">
        <v>0.1</v>
      </c>
    </row>
    <row r="147" spans="1:17" x14ac:dyDescent="0.35">
      <c r="A147" s="2">
        <v>70</v>
      </c>
      <c r="B147" s="2">
        <v>26</v>
      </c>
      <c r="C147" s="2" t="s">
        <v>19</v>
      </c>
      <c r="D147" s="2">
        <v>3</v>
      </c>
      <c r="E147" s="2">
        <v>-1.3026</v>
      </c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x14ac:dyDescent="0.35">
      <c r="A148" s="2">
        <v>70</v>
      </c>
      <c r="B148" s="2">
        <v>27</v>
      </c>
      <c r="C148" s="2" t="s">
        <v>19</v>
      </c>
      <c r="D148" s="2">
        <v>3</v>
      </c>
      <c r="E148" s="2">
        <v>-1.0132000000000001</v>
      </c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x14ac:dyDescent="0.35">
      <c r="A149" s="2">
        <v>70</v>
      </c>
      <c r="B149" s="2">
        <v>28</v>
      </c>
      <c r="C149" s="2" t="s">
        <v>19</v>
      </c>
      <c r="D149" s="2">
        <v>3</v>
      </c>
      <c r="E149" s="2">
        <v>-0.72370000000000001</v>
      </c>
      <c r="F149" s="4" t="s">
        <v>18</v>
      </c>
      <c r="G149" s="2">
        <v>0.87</v>
      </c>
      <c r="H149" s="2">
        <v>870</v>
      </c>
      <c r="I149" s="2">
        <v>212</v>
      </c>
      <c r="J149" s="2">
        <v>2.879</v>
      </c>
      <c r="K149" s="2">
        <v>2.9540000000000002</v>
      </c>
      <c r="L149" s="2">
        <v>3.16</v>
      </c>
      <c r="M149" s="2">
        <v>2.996</v>
      </c>
      <c r="N149" s="2">
        <v>-1.008</v>
      </c>
      <c r="O149" s="2">
        <v>3.1659999999999999</v>
      </c>
      <c r="P149" s="2">
        <v>-6.0000000000000001E-3</v>
      </c>
      <c r="Q149" s="2">
        <v>-0.2</v>
      </c>
    </row>
    <row r="150" spans="1:17" x14ac:dyDescent="0.35">
      <c r="A150" s="2">
        <v>70</v>
      </c>
      <c r="B150" s="2">
        <v>29</v>
      </c>
      <c r="C150" s="2" t="s">
        <v>19</v>
      </c>
      <c r="D150" s="2">
        <v>3</v>
      </c>
      <c r="E150" s="2">
        <v>-0.43419999999999997</v>
      </c>
      <c r="F150" s="4" t="s">
        <v>18</v>
      </c>
      <c r="G150" s="2">
        <v>0.87</v>
      </c>
      <c r="H150" s="2">
        <v>804</v>
      </c>
      <c r="I150" s="2">
        <v>212</v>
      </c>
      <c r="J150" s="2">
        <v>2.8769999999999998</v>
      </c>
      <c r="K150" s="2">
        <v>2.952</v>
      </c>
      <c r="L150" s="2">
        <v>3.0779999999999998</v>
      </c>
      <c r="M150" s="2">
        <v>2.9929999999999999</v>
      </c>
      <c r="N150" s="2">
        <v>-0.71799999999999997</v>
      </c>
      <c r="O150" s="2">
        <v>3.0310000000000001</v>
      </c>
      <c r="P150" s="2">
        <v>4.7E-2</v>
      </c>
      <c r="Q150" s="2">
        <v>1.5</v>
      </c>
    </row>
    <row r="151" spans="1:17" x14ac:dyDescent="0.35">
      <c r="A151" s="2">
        <v>70</v>
      </c>
      <c r="B151" s="2">
        <v>30</v>
      </c>
      <c r="C151" s="2" t="s">
        <v>19</v>
      </c>
      <c r="D151" s="2">
        <v>3</v>
      </c>
      <c r="E151" s="2">
        <v>-0.1447</v>
      </c>
      <c r="F151" s="4" t="s">
        <v>18</v>
      </c>
      <c r="G151" s="2">
        <v>0.84</v>
      </c>
      <c r="H151" s="2">
        <v>739</v>
      </c>
      <c r="I151" s="2">
        <v>212</v>
      </c>
      <c r="J151" s="2">
        <v>2.875</v>
      </c>
      <c r="K151" s="2">
        <v>2.95</v>
      </c>
      <c r="L151" s="2">
        <v>3.0219999999999998</v>
      </c>
      <c r="M151" s="2">
        <v>2.9910000000000001</v>
      </c>
      <c r="N151" s="2">
        <v>-0.433</v>
      </c>
      <c r="O151" s="2">
        <v>3.0030000000000001</v>
      </c>
      <c r="P151" s="2">
        <v>1.7999999999999999E-2</v>
      </c>
      <c r="Q151" s="2">
        <v>0.6</v>
      </c>
    </row>
    <row r="152" spans="1:17" x14ac:dyDescent="0.35">
      <c r="A152" s="2">
        <v>70</v>
      </c>
      <c r="B152" s="2">
        <v>31</v>
      </c>
      <c r="C152" s="2" t="s">
        <v>19</v>
      </c>
      <c r="D152" s="2">
        <v>3</v>
      </c>
      <c r="E152" s="2">
        <v>0.1447</v>
      </c>
      <c r="F152" s="4" t="s">
        <v>18</v>
      </c>
      <c r="G152" s="2">
        <v>0.8</v>
      </c>
      <c r="H152" s="2">
        <v>673</v>
      </c>
      <c r="I152" s="2">
        <v>212</v>
      </c>
      <c r="J152" s="2">
        <v>2.8740000000000001</v>
      </c>
      <c r="K152" s="2">
        <v>2.9489999999999998</v>
      </c>
      <c r="L152" s="2">
        <v>2.9929999999999999</v>
      </c>
      <c r="M152" s="2">
        <v>2.99</v>
      </c>
      <c r="N152" s="2">
        <v>-0.14399999999999999</v>
      </c>
      <c r="O152" s="2">
        <v>3.0030000000000001</v>
      </c>
      <c r="P152" s="2">
        <v>-0.01</v>
      </c>
      <c r="Q152" s="2">
        <v>-0.3</v>
      </c>
    </row>
    <row r="153" spans="1:17" x14ac:dyDescent="0.35">
      <c r="A153" s="2">
        <v>70</v>
      </c>
      <c r="B153" s="2">
        <v>32</v>
      </c>
      <c r="C153" s="2" t="s">
        <v>19</v>
      </c>
      <c r="D153" s="2">
        <v>3</v>
      </c>
      <c r="E153" s="2">
        <v>0.43419999999999997</v>
      </c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x14ac:dyDescent="0.35">
      <c r="A154" s="2">
        <v>70</v>
      </c>
      <c r="B154" s="2">
        <v>33</v>
      </c>
      <c r="C154" s="2" t="s">
        <v>19</v>
      </c>
      <c r="D154" s="2">
        <v>3</v>
      </c>
      <c r="E154" s="2">
        <v>0.72370000000000001</v>
      </c>
      <c r="F154" s="4" t="s">
        <v>18</v>
      </c>
      <c r="G154" s="2">
        <v>0.83</v>
      </c>
      <c r="H154" s="2">
        <v>476</v>
      </c>
      <c r="I154" s="2">
        <v>212</v>
      </c>
      <c r="J154" s="2">
        <v>2.8780000000000001</v>
      </c>
      <c r="K154" s="2">
        <v>2.9529999999999998</v>
      </c>
      <c r="L154" s="2">
        <v>3.0790000000000002</v>
      </c>
      <c r="M154" s="2">
        <v>2.9940000000000002</v>
      </c>
      <c r="N154" s="2">
        <v>0.71799999999999997</v>
      </c>
      <c r="O154" s="2">
        <v>3.0859999999999999</v>
      </c>
      <c r="P154" s="2">
        <v>-7.0000000000000001E-3</v>
      </c>
      <c r="Q154" s="2">
        <v>-0.2</v>
      </c>
    </row>
    <row r="155" spans="1:17" x14ac:dyDescent="0.35">
      <c r="A155" s="2">
        <v>70</v>
      </c>
      <c r="B155" s="2">
        <v>34</v>
      </c>
      <c r="C155" s="2" t="s">
        <v>19</v>
      </c>
      <c r="D155" s="2">
        <v>3</v>
      </c>
      <c r="E155" s="2">
        <v>1.0132000000000001</v>
      </c>
      <c r="F155" s="4" t="s">
        <v>18</v>
      </c>
      <c r="G155" s="2">
        <v>0.83</v>
      </c>
      <c r="H155" s="2">
        <v>476</v>
      </c>
      <c r="I155" s="2">
        <v>212</v>
      </c>
      <c r="J155" s="2">
        <v>2.8780000000000001</v>
      </c>
      <c r="K155" s="2">
        <v>2.9529999999999998</v>
      </c>
      <c r="L155" s="2">
        <v>3.0790000000000002</v>
      </c>
      <c r="M155" s="2">
        <v>2.9940000000000002</v>
      </c>
      <c r="N155" s="2">
        <v>0.71799999999999997</v>
      </c>
      <c r="O155" s="2">
        <v>3.0859999999999999</v>
      </c>
      <c r="P155" s="2">
        <v>-7.0000000000000001E-3</v>
      </c>
      <c r="Q155" s="2">
        <v>-0.2</v>
      </c>
    </row>
    <row r="156" spans="1:17" x14ac:dyDescent="0.35">
      <c r="A156" s="2">
        <v>70</v>
      </c>
      <c r="B156" s="2">
        <v>35</v>
      </c>
      <c r="C156" s="2" t="s">
        <v>19</v>
      </c>
      <c r="D156" s="2">
        <v>3</v>
      </c>
      <c r="E156" s="2">
        <v>1.3026</v>
      </c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x14ac:dyDescent="0.35">
      <c r="A157" s="2">
        <v>70</v>
      </c>
      <c r="B157" s="2">
        <v>36</v>
      </c>
      <c r="C157" s="2" t="s">
        <v>19</v>
      </c>
      <c r="D157" s="2">
        <v>3</v>
      </c>
      <c r="E157" s="2">
        <v>1.5921000000000001</v>
      </c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x14ac:dyDescent="0.35">
      <c r="A158" s="2">
        <v>70</v>
      </c>
      <c r="B158" s="2">
        <v>37</v>
      </c>
      <c r="C158" s="2" t="s">
        <v>19</v>
      </c>
      <c r="D158" s="2">
        <v>3</v>
      </c>
      <c r="E158" s="2">
        <v>1.8815999999999999</v>
      </c>
      <c r="F158" s="4" t="s">
        <v>18</v>
      </c>
      <c r="G158" s="2">
        <v>0.81</v>
      </c>
      <c r="H158" s="2">
        <v>211</v>
      </c>
      <c r="I158" s="2">
        <v>211</v>
      </c>
      <c r="J158" s="2">
        <v>2.8879999999999999</v>
      </c>
      <c r="K158" s="2">
        <v>2.9630000000000001</v>
      </c>
      <c r="L158" s="2">
        <v>3.548</v>
      </c>
      <c r="M158" s="2">
        <v>3.0059999999999998</v>
      </c>
      <c r="N158" s="2">
        <v>1.885</v>
      </c>
      <c r="O158" s="2">
        <v>3.5409999999999999</v>
      </c>
      <c r="P158" s="2">
        <v>7.0000000000000001E-3</v>
      </c>
      <c r="Q158" s="2">
        <v>0.2</v>
      </c>
    </row>
    <row r="159" spans="1:17" x14ac:dyDescent="0.35">
      <c r="A159" s="2">
        <v>70</v>
      </c>
      <c r="B159" s="2">
        <v>38</v>
      </c>
      <c r="C159" s="2" t="s">
        <v>19</v>
      </c>
      <c r="D159" s="2">
        <v>3</v>
      </c>
      <c r="E159" s="2">
        <v>2.1711</v>
      </c>
      <c r="F159" s="4" t="s">
        <v>18</v>
      </c>
      <c r="G159" s="2">
        <v>0.76</v>
      </c>
      <c r="H159" s="2">
        <v>145</v>
      </c>
      <c r="I159" s="2">
        <v>211</v>
      </c>
      <c r="J159" s="2">
        <v>2.8919999999999999</v>
      </c>
      <c r="K159" s="2">
        <v>2.9670000000000001</v>
      </c>
      <c r="L159" s="2">
        <v>3.7149999999999999</v>
      </c>
      <c r="M159" s="2">
        <v>3.01</v>
      </c>
      <c r="N159" s="2">
        <v>2.1779999999999999</v>
      </c>
      <c r="O159" s="2">
        <v>3.7029999999999998</v>
      </c>
      <c r="P159" s="2">
        <v>1.2E-2</v>
      </c>
      <c r="Q159" s="2">
        <v>0.3</v>
      </c>
    </row>
    <row r="160" spans="1:17" x14ac:dyDescent="0.35">
      <c r="A160" s="2">
        <v>70</v>
      </c>
      <c r="B160" s="2">
        <v>39</v>
      </c>
      <c r="C160" s="2" t="s">
        <v>19</v>
      </c>
      <c r="D160" s="2">
        <v>3</v>
      </c>
      <c r="E160" s="2">
        <v>2.4605000000000001</v>
      </c>
      <c r="F160" s="4" t="s">
        <v>18</v>
      </c>
      <c r="G160" s="2">
        <v>0.76</v>
      </c>
      <c r="H160" s="2">
        <v>145</v>
      </c>
      <c r="I160" s="2">
        <v>211</v>
      </c>
      <c r="J160" s="2">
        <v>2.8919999999999999</v>
      </c>
      <c r="K160" s="2">
        <v>2.9670000000000001</v>
      </c>
      <c r="L160" s="2">
        <v>3.7149999999999999</v>
      </c>
      <c r="M160" s="2">
        <v>3.01</v>
      </c>
      <c r="N160" s="2">
        <v>2.1779999999999999</v>
      </c>
      <c r="O160" s="2">
        <v>3.88</v>
      </c>
      <c r="P160" s="2">
        <v>-0.16500000000000001</v>
      </c>
      <c r="Q160" s="2">
        <v>-4.3</v>
      </c>
    </row>
    <row r="161" spans="1:17" x14ac:dyDescent="0.35">
      <c r="A161" s="2">
        <v>70</v>
      </c>
      <c r="B161" s="2">
        <v>40</v>
      </c>
      <c r="C161" s="2" t="s">
        <v>19</v>
      </c>
      <c r="D161" s="2">
        <v>3</v>
      </c>
      <c r="E161" s="2">
        <v>2.75</v>
      </c>
      <c r="F161" s="4" t="s">
        <v>18</v>
      </c>
      <c r="G161" s="2">
        <v>0.81</v>
      </c>
      <c r="H161" s="2">
        <v>78</v>
      </c>
      <c r="I161" s="2">
        <v>211</v>
      </c>
      <c r="J161" s="2">
        <v>2.8929999999999998</v>
      </c>
      <c r="K161" s="2">
        <v>2.968</v>
      </c>
      <c r="L161" s="2">
        <v>3.8959999999999999</v>
      </c>
      <c r="M161" s="2">
        <v>3.0110000000000001</v>
      </c>
      <c r="N161" s="2">
        <v>2.4729999999999999</v>
      </c>
      <c r="O161" s="2">
        <v>3.88</v>
      </c>
      <c r="P161" s="2">
        <v>1.6E-2</v>
      </c>
      <c r="Q161" s="2">
        <v>0.4</v>
      </c>
    </row>
    <row r="162" spans="1:17" x14ac:dyDescent="0.35">
      <c r="A162" s="2">
        <v>60</v>
      </c>
      <c r="B162" s="2">
        <v>1</v>
      </c>
      <c r="C162" s="2" t="s">
        <v>17</v>
      </c>
      <c r="D162" s="2">
        <v>1</v>
      </c>
      <c r="E162" s="2">
        <v>0</v>
      </c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x14ac:dyDescent="0.35">
      <c r="A163" s="2">
        <v>60</v>
      </c>
      <c r="B163" s="2">
        <v>2</v>
      </c>
      <c r="C163" s="2" t="s">
        <v>17</v>
      </c>
      <c r="D163" s="2">
        <v>1.2632000000000001</v>
      </c>
      <c r="E163" s="2">
        <v>0</v>
      </c>
      <c r="F163" s="4" t="s">
        <v>18</v>
      </c>
      <c r="G163" s="2">
        <v>0.89</v>
      </c>
      <c r="H163" s="2">
        <v>640</v>
      </c>
      <c r="I163" s="2">
        <v>395</v>
      </c>
      <c r="J163" s="2">
        <v>0.99299999999999999</v>
      </c>
      <c r="K163" s="2">
        <v>1.0680000000000001</v>
      </c>
      <c r="L163" s="2">
        <v>0.98199999999999998</v>
      </c>
      <c r="M163" s="2">
        <v>0.98199999999999998</v>
      </c>
      <c r="N163" s="2">
        <v>0</v>
      </c>
      <c r="O163" s="2">
        <v>1</v>
      </c>
      <c r="P163" s="2">
        <v>-1.7999999999999999E-2</v>
      </c>
      <c r="Q163" s="2">
        <v>-1.8</v>
      </c>
    </row>
    <row r="164" spans="1:17" x14ac:dyDescent="0.35">
      <c r="A164" s="2">
        <v>60</v>
      </c>
      <c r="B164" s="2">
        <v>3</v>
      </c>
      <c r="C164" s="2" t="s">
        <v>17</v>
      </c>
      <c r="D164" s="2">
        <v>1.5263</v>
      </c>
      <c r="E164" s="2">
        <v>0</v>
      </c>
      <c r="F164" s="4" t="s">
        <v>18</v>
      </c>
      <c r="G164" s="2">
        <v>0.9</v>
      </c>
      <c r="H164" s="2">
        <v>640</v>
      </c>
      <c r="I164" s="2">
        <v>341</v>
      </c>
      <c r="J164" s="2">
        <v>1.242</v>
      </c>
      <c r="K164" s="2">
        <v>1.3169999999999999</v>
      </c>
      <c r="L164" s="2">
        <v>1.2470000000000001</v>
      </c>
      <c r="M164" s="2">
        <v>1.2470000000000001</v>
      </c>
      <c r="N164" s="2">
        <v>0</v>
      </c>
      <c r="O164" s="2">
        <v>1</v>
      </c>
      <c r="P164" s="2">
        <v>0.247</v>
      </c>
      <c r="Q164" s="2">
        <v>24.7</v>
      </c>
    </row>
    <row r="165" spans="1:17" x14ac:dyDescent="0.35">
      <c r="A165" s="2">
        <v>60</v>
      </c>
      <c r="B165" s="2">
        <v>4</v>
      </c>
      <c r="C165" s="2" t="s">
        <v>17</v>
      </c>
      <c r="D165" s="2">
        <v>1.7895000000000001</v>
      </c>
      <c r="E165" s="2">
        <v>0</v>
      </c>
      <c r="F165" s="4" t="s">
        <v>18</v>
      </c>
      <c r="G165" s="2">
        <v>0.9</v>
      </c>
      <c r="H165" s="2">
        <v>639</v>
      </c>
      <c r="I165" s="2">
        <v>303</v>
      </c>
      <c r="J165" s="2">
        <v>1.4890000000000001</v>
      </c>
      <c r="K165" s="2">
        <v>1.5640000000000001</v>
      </c>
      <c r="L165" s="2">
        <v>1.512</v>
      </c>
      <c r="M165" s="2">
        <v>1.512</v>
      </c>
      <c r="N165" s="2">
        <v>2E-3</v>
      </c>
      <c r="O165" s="2">
        <v>1.526</v>
      </c>
      <c r="P165" s="2">
        <v>-1.4E-2</v>
      </c>
      <c r="Q165" s="2">
        <v>-0.9</v>
      </c>
    </row>
    <row r="166" spans="1:17" x14ac:dyDescent="0.35">
      <c r="A166" s="2">
        <v>60</v>
      </c>
      <c r="B166" s="2">
        <v>5</v>
      </c>
      <c r="C166" s="2" t="s">
        <v>17</v>
      </c>
      <c r="D166" s="2">
        <v>2.0526</v>
      </c>
      <c r="E166" s="2">
        <v>0</v>
      </c>
      <c r="F166" s="4" t="s">
        <v>18</v>
      </c>
      <c r="G166" s="2">
        <v>0.89</v>
      </c>
      <c r="H166" s="2">
        <v>639</v>
      </c>
      <c r="I166" s="2">
        <v>277</v>
      </c>
      <c r="J166" s="2">
        <v>1.7370000000000001</v>
      </c>
      <c r="K166" s="2">
        <v>1.8120000000000001</v>
      </c>
      <c r="L166" s="2">
        <v>1.776</v>
      </c>
      <c r="M166" s="2">
        <v>1.776</v>
      </c>
      <c r="N166" s="2">
        <v>3.0000000000000001E-3</v>
      </c>
      <c r="O166" s="2">
        <v>1.79</v>
      </c>
      <c r="P166" s="2">
        <v>-1.2999999999999999E-2</v>
      </c>
      <c r="Q166" s="2">
        <v>-0.7</v>
      </c>
    </row>
    <row r="167" spans="1:17" x14ac:dyDescent="0.35">
      <c r="A167" s="2">
        <v>60</v>
      </c>
      <c r="B167" s="2">
        <v>6</v>
      </c>
      <c r="C167" s="2" t="s">
        <v>17</v>
      </c>
      <c r="D167" s="2">
        <v>2.3157999999999999</v>
      </c>
      <c r="E167" s="2">
        <v>0</v>
      </c>
      <c r="F167" s="4" t="s">
        <v>18</v>
      </c>
      <c r="G167" s="2">
        <v>0.88</v>
      </c>
      <c r="H167" s="2">
        <v>639</v>
      </c>
      <c r="I167" s="2">
        <v>257</v>
      </c>
      <c r="J167" s="2">
        <v>1.984</v>
      </c>
      <c r="K167" s="2">
        <v>2.0590000000000002</v>
      </c>
      <c r="L167" s="2">
        <v>2.04</v>
      </c>
      <c r="M167" s="2">
        <v>2.04</v>
      </c>
      <c r="N167" s="2">
        <v>3.0000000000000001E-3</v>
      </c>
      <c r="O167" s="2">
        <v>2.0529999999999999</v>
      </c>
      <c r="P167" s="2">
        <v>-1.2E-2</v>
      </c>
      <c r="Q167" s="2">
        <v>-0.6</v>
      </c>
    </row>
    <row r="168" spans="1:17" x14ac:dyDescent="0.35">
      <c r="A168" s="2">
        <v>60</v>
      </c>
      <c r="B168" s="2">
        <v>7</v>
      </c>
      <c r="C168" s="2" t="s">
        <v>17</v>
      </c>
      <c r="D168" s="2">
        <v>2.5789</v>
      </c>
      <c r="E168" s="2">
        <v>0</v>
      </c>
      <c r="F168" s="4" t="s">
        <v>18</v>
      </c>
      <c r="G168" s="2">
        <v>0.38</v>
      </c>
      <c r="H168" s="2">
        <v>640</v>
      </c>
      <c r="I168" s="2">
        <v>241</v>
      </c>
      <c r="J168" s="2">
        <v>2.2320000000000002</v>
      </c>
      <c r="K168" s="2">
        <v>2.3069999999999999</v>
      </c>
      <c r="L168" s="2">
        <v>2.3039999999999998</v>
      </c>
      <c r="M168" s="2">
        <v>2.3039999999999998</v>
      </c>
      <c r="N168" s="2">
        <v>0</v>
      </c>
      <c r="O168" s="2">
        <v>2.3159999999999998</v>
      </c>
      <c r="P168" s="2">
        <v>-1.2E-2</v>
      </c>
      <c r="Q168" s="2">
        <v>-0.5</v>
      </c>
    </row>
    <row r="169" spans="1:17" x14ac:dyDescent="0.35">
      <c r="A169" s="2">
        <v>60</v>
      </c>
      <c r="B169" s="2">
        <v>8</v>
      </c>
      <c r="C169" s="2" t="s">
        <v>17</v>
      </c>
      <c r="D169" s="2">
        <v>2.8420999999999998</v>
      </c>
      <c r="E169" s="2">
        <v>0</v>
      </c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x14ac:dyDescent="0.35">
      <c r="A170" s="2">
        <v>60</v>
      </c>
      <c r="B170" s="2">
        <v>9</v>
      </c>
      <c r="C170" s="2" t="s">
        <v>17</v>
      </c>
      <c r="D170" s="2">
        <v>3.1053000000000002</v>
      </c>
      <c r="E170" s="2">
        <v>0</v>
      </c>
      <c r="F170" s="4" t="s">
        <v>18</v>
      </c>
      <c r="G170" s="2">
        <v>0.57999999999999996</v>
      </c>
      <c r="H170" s="2">
        <v>640</v>
      </c>
      <c r="I170" s="2">
        <v>218</v>
      </c>
      <c r="J170" s="2">
        <v>2.726</v>
      </c>
      <c r="K170" s="2">
        <v>2.8010000000000002</v>
      </c>
      <c r="L170" s="2">
        <v>2.8319999999999999</v>
      </c>
      <c r="M170" s="2">
        <v>2.8319999999999999</v>
      </c>
      <c r="N170" s="2">
        <v>0</v>
      </c>
      <c r="O170" s="2">
        <v>2.8420000000000001</v>
      </c>
      <c r="P170" s="2">
        <v>-0.01</v>
      </c>
      <c r="Q170" s="2">
        <v>-0.4</v>
      </c>
    </row>
    <row r="171" spans="1:17" x14ac:dyDescent="0.35">
      <c r="A171" s="2">
        <v>60</v>
      </c>
      <c r="B171" s="2">
        <v>10</v>
      </c>
      <c r="C171" s="2" t="s">
        <v>17</v>
      </c>
      <c r="D171" s="2">
        <v>3.3683999999999998</v>
      </c>
      <c r="E171" s="2">
        <v>0</v>
      </c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x14ac:dyDescent="0.35">
      <c r="A172" s="2">
        <v>60</v>
      </c>
      <c r="B172" s="2">
        <v>11</v>
      </c>
      <c r="C172" s="2" t="s">
        <v>17</v>
      </c>
      <c r="D172" s="2">
        <v>3.6316000000000002</v>
      </c>
      <c r="E172" s="2">
        <v>0</v>
      </c>
      <c r="F172" s="4" t="s">
        <v>18</v>
      </c>
      <c r="G172" s="2">
        <v>0.38</v>
      </c>
      <c r="H172" s="2">
        <v>640</v>
      </c>
      <c r="I172" s="2">
        <v>201</v>
      </c>
      <c r="J172" s="2">
        <v>3.2189999999999999</v>
      </c>
      <c r="K172" s="2">
        <v>3.294</v>
      </c>
      <c r="L172" s="2">
        <v>3.359</v>
      </c>
      <c r="M172" s="2">
        <v>3.359</v>
      </c>
      <c r="N172" s="2">
        <v>0</v>
      </c>
      <c r="O172" s="2">
        <v>3.3679999999999999</v>
      </c>
      <c r="P172" s="2">
        <v>-0.01</v>
      </c>
      <c r="Q172" s="2">
        <v>-0.3</v>
      </c>
    </row>
    <row r="173" spans="1:17" x14ac:dyDescent="0.35">
      <c r="A173" s="2">
        <v>60</v>
      </c>
      <c r="B173" s="2">
        <v>12</v>
      </c>
      <c r="C173" s="2" t="s">
        <v>17</v>
      </c>
      <c r="D173" s="2">
        <v>3.8946999999999998</v>
      </c>
      <c r="E173" s="2">
        <v>0</v>
      </c>
      <c r="F173" s="4" t="s">
        <v>18</v>
      </c>
      <c r="G173" s="2">
        <v>0.75</v>
      </c>
      <c r="H173" s="2">
        <v>640</v>
      </c>
      <c r="I173" s="2">
        <v>194</v>
      </c>
      <c r="J173" s="2">
        <v>3.4649999999999999</v>
      </c>
      <c r="K173" s="2">
        <v>3.54</v>
      </c>
      <c r="L173" s="2">
        <v>3.6219999999999999</v>
      </c>
      <c r="M173" s="2">
        <v>3.6219999999999999</v>
      </c>
      <c r="N173" s="2">
        <v>0</v>
      </c>
      <c r="O173" s="2">
        <v>3.6320000000000001</v>
      </c>
      <c r="P173" s="2">
        <v>-8.9999999999999993E-3</v>
      </c>
      <c r="Q173" s="2">
        <v>-0.3</v>
      </c>
    </row>
    <row r="174" spans="1:17" x14ac:dyDescent="0.35">
      <c r="A174" s="2">
        <v>60</v>
      </c>
      <c r="B174" s="2">
        <v>13</v>
      </c>
      <c r="C174" s="2" t="s">
        <v>17</v>
      </c>
      <c r="D174" s="2">
        <v>4.1578999999999997</v>
      </c>
      <c r="E174" s="2">
        <v>0</v>
      </c>
      <c r="F174" s="4" t="s">
        <v>18</v>
      </c>
      <c r="G174" s="2">
        <v>0.75</v>
      </c>
      <c r="H174" s="2">
        <v>640</v>
      </c>
      <c r="I174" s="2">
        <v>194</v>
      </c>
      <c r="J174" s="2">
        <v>3.4649999999999999</v>
      </c>
      <c r="K174" s="2">
        <v>3.54</v>
      </c>
      <c r="L174" s="2">
        <v>3.6219999999999999</v>
      </c>
      <c r="M174" s="2">
        <v>3.6219999999999999</v>
      </c>
      <c r="N174" s="2">
        <v>0</v>
      </c>
      <c r="O174" s="2">
        <v>3.895</v>
      </c>
      <c r="P174" s="2">
        <v>-0.27200000000000002</v>
      </c>
      <c r="Q174" s="2">
        <v>-7</v>
      </c>
    </row>
    <row r="175" spans="1:17" x14ac:dyDescent="0.35">
      <c r="A175" s="2">
        <v>60</v>
      </c>
      <c r="B175" s="2">
        <v>14</v>
      </c>
      <c r="C175" s="2" t="s">
        <v>17</v>
      </c>
      <c r="D175" s="2">
        <v>4.4211</v>
      </c>
      <c r="E175" s="2">
        <v>0</v>
      </c>
      <c r="F175" s="4" t="s">
        <v>18</v>
      </c>
      <c r="G175" s="2">
        <v>0.78</v>
      </c>
      <c r="H175" s="2">
        <v>640</v>
      </c>
      <c r="I175" s="2">
        <v>189</v>
      </c>
      <c r="J175" s="2">
        <v>3.7130000000000001</v>
      </c>
      <c r="K175" s="2">
        <v>3.7879999999999998</v>
      </c>
      <c r="L175" s="2">
        <v>3.8860000000000001</v>
      </c>
      <c r="M175" s="2">
        <v>3.8860000000000001</v>
      </c>
      <c r="N175" s="2">
        <v>0</v>
      </c>
      <c r="O175" s="2">
        <v>4.1580000000000004</v>
      </c>
      <c r="P175" s="2">
        <v>-0.27200000000000002</v>
      </c>
      <c r="Q175" s="2">
        <v>-6.5</v>
      </c>
    </row>
    <row r="176" spans="1:17" x14ac:dyDescent="0.35">
      <c r="A176" s="2">
        <v>60</v>
      </c>
      <c r="B176" s="2">
        <v>15</v>
      </c>
      <c r="C176" s="2" t="s">
        <v>17</v>
      </c>
      <c r="D176" s="2">
        <v>4.6841999999999997</v>
      </c>
      <c r="E176" s="2">
        <v>0</v>
      </c>
      <c r="F176" s="4" t="s">
        <v>18</v>
      </c>
      <c r="G176" s="2">
        <v>0.7</v>
      </c>
      <c r="H176" s="2">
        <v>640</v>
      </c>
      <c r="I176" s="2">
        <v>180</v>
      </c>
      <c r="J176" s="2">
        <v>3.952</v>
      </c>
      <c r="K176" s="2">
        <v>4.0270000000000001</v>
      </c>
      <c r="L176" s="2">
        <v>4.149</v>
      </c>
      <c r="M176" s="2">
        <v>4.149</v>
      </c>
      <c r="N176" s="2">
        <v>0</v>
      </c>
      <c r="O176" s="2">
        <v>4.4210000000000003</v>
      </c>
      <c r="P176" s="2">
        <v>-0.27200000000000002</v>
      </c>
      <c r="Q176" s="2">
        <v>-6.1</v>
      </c>
    </row>
    <row r="177" spans="1:17" x14ac:dyDescent="0.35">
      <c r="A177" s="2">
        <v>60</v>
      </c>
      <c r="B177" s="2">
        <v>16</v>
      </c>
      <c r="C177" s="2" t="s">
        <v>17</v>
      </c>
      <c r="D177" s="2">
        <v>4.9474</v>
      </c>
      <c r="E177" s="2">
        <v>0</v>
      </c>
      <c r="F177" s="4" t="s">
        <v>18</v>
      </c>
      <c r="G177" s="2">
        <v>0.66</v>
      </c>
      <c r="H177" s="2">
        <v>640</v>
      </c>
      <c r="I177" s="2">
        <v>177</v>
      </c>
      <c r="J177" s="2">
        <v>4.4560000000000004</v>
      </c>
      <c r="K177" s="2">
        <v>4.5309999999999997</v>
      </c>
      <c r="L177" s="2">
        <v>4.6760000000000002</v>
      </c>
      <c r="M177" s="2">
        <v>4.6760000000000002</v>
      </c>
      <c r="N177" s="2">
        <v>0</v>
      </c>
      <c r="O177" s="2">
        <v>4.6840000000000002</v>
      </c>
      <c r="P177" s="2">
        <v>-8.0000000000000002E-3</v>
      </c>
      <c r="Q177" s="2">
        <v>-0.2</v>
      </c>
    </row>
    <row r="178" spans="1:17" x14ac:dyDescent="0.35">
      <c r="A178" s="2">
        <v>60</v>
      </c>
      <c r="B178" s="2">
        <v>17</v>
      </c>
      <c r="C178" s="2" t="s">
        <v>17</v>
      </c>
      <c r="D178" s="2">
        <v>5.2104999999999997</v>
      </c>
      <c r="E178" s="2">
        <v>0</v>
      </c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x14ac:dyDescent="0.35">
      <c r="A179" s="2">
        <v>60</v>
      </c>
      <c r="B179" s="2">
        <v>18</v>
      </c>
      <c r="C179" s="2" t="s">
        <v>17</v>
      </c>
      <c r="D179" s="2">
        <v>5.4737</v>
      </c>
      <c r="E179" s="2">
        <v>0</v>
      </c>
      <c r="F179" s="4" t="s">
        <v>18</v>
      </c>
      <c r="G179" s="2">
        <v>0.57999999999999996</v>
      </c>
      <c r="H179" s="2">
        <v>640</v>
      </c>
      <c r="I179" s="2">
        <v>169</v>
      </c>
      <c r="J179" s="2">
        <v>4.9459999999999997</v>
      </c>
      <c r="K179" s="2">
        <v>5.0209999999999999</v>
      </c>
      <c r="L179" s="2">
        <v>5.2030000000000003</v>
      </c>
      <c r="M179" s="2">
        <v>5.2030000000000003</v>
      </c>
      <c r="N179" s="2">
        <v>0</v>
      </c>
      <c r="O179" s="2">
        <v>5.2110000000000003</v>
      </c>
      <c r="P179" s="2">
        <v>-8.0000000000000002E-3</v>
      </c>
      <c r="Q179" s="2">
        <v>-0.2</v>
      </c>
    </row>
    <row r="180" spans="1:17" x14ac:dyDescent="0.35">
      <c r="A180" s="2">
        <v>60</v>
      </c>
      <c r="B180" s="2">
        <v>19</v>
      </c>
      <c r="C180" s="2" t="s">
        <v>17</v>
      </c>
      <c r="D180" s="2">
        <v>5.7367999999999997</v>
      </c>
      <c r="E180" s="2">
        <v>0</v>
      </c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x14ac:dyDescent="0.35">
      <c r="A181" s="2">
        <v>60</v>
      </c>
      <c r="B181" s="2">
        <v>20</v>
      </c>
      <c r="C181" s="2" t="s">
        <v>17</v>
      </c>
      <c r="D181" s="2">
        <v>6</v>
      </c>
      <c r="E181" s="2">
        <v>0</v>
      </c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x14ac:dyDescent="0.35">
      <c r="A182" s="2">
        <v>60</v>
      </c>
      <c r="B182" s="2">
        <v>21</v>
      </c>
      <c r="C182" s="2" t="s">
        <v>19</v>
      </c>
      <c r="D182" s="2">
        <v>3</v>
      </c>
      <c r="E182" s="2">
        <v>-2.75</v>
      </c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x14ac:dyDescent="0.35">
      <c r="A183" s="2">
        <v>60</v>
      </c>
      <c r="B183" s="2">
        <v>22</v>
      </c>
      <c r="C183" s="2" t="s">
        <v>19</v>
      </c>
      <c r="D183" s="2">
        <v>3</v>
      </c>
      <c r="E183" s="2">
        <v>-2.4605000000000001</v>
      </c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x14ac:dyDescent="0.35">
      <c r="A184" s="2">
        <v>60</v>
      </c>
      <c r="B184" s="2">
        <v>23</v>
      </c>
      <c r="C184" s="2" t="s">
        <v>19</v>
      </c>
      <c r="D184" s="2">
        <v>3</v>
      </c>
      <c r="E184" s="2">
        <v>-2.1711</v>
      </c>
      <c r="F184" s="4" t="s">
        <v>18</v>
      </c>
      <c r="G184" s="2">
        <v>0.82</v>
      </c>
      <c r="H184" s="2">
        <v>1200</v>
      </c>
      <c r="I184" s="2">
        <v>211</v>
      </c>
      <c r="J184" s="2">
        <v>2.895</v>
      </c>
      <c r="K184" s="2">
        <v>2.97</v>
      </c>
      <c r="L184" s="2">
        <v>3.8940000000000001</v>
      </c>
      <c r="M184" s="2">
        <v>3.0129999999999999</v>
      </c>
      <c r="N184" s="2">
        <v>-2.4660000000000002</v>
      </c>
      <c r="O184" s="2">
        <v>3.88</v>
      </c>
      <c r="P184" s="2">
        <v>1.4E-2</v>
      </c>
      <c r="Q184" s="2">
        <v>0.4</v>
      </c>
    </row>
    <row r="185" spans="1:17" x14ac:dyDescent="0.35">
      <c r="A185" s="2">
        <v>60</v>
      </c>
      <c r="B185" s="2">
        <v>24</v>
      </c>
      <c r="C185" s="2" t="s">
        <v>19</v>
      </c>
      <c r="D185" s="2">
        <v>3</v>
      </c>
      <c r="E185" s="2">
        <v>-1.8815999999999999</v>
      </c>
      <c r="F185" s="4" t="s">
        <v>18</v>
      </c>
      <c r="G185" s="2">
        <v>0.82</v>
      </c>
      <c r="H185" s="2">
        <v>1133</v>
      </c>
      <c r="I185" s="2">
        <v>211</v>
      </c>
      <c r="J185" s="2">
        <v>2.8940000000000001</v>
      </c>
      <c r="K185" s="2">
        <v>2.9689999999999999</v>
      </c>
      <c r="L185" s="2">
        <v>3.7130000000000001</v>
      </c>
      <c r="M185" s="2">
        <v>3.012</v>
      </c>
      <c r="N185" s="2">
        <v>-2.17</v>
      </c>
      <c r="O185" s="2">
        <v>3.5409999999999999</v>
      </c>
      <c r="P185" s="2">
        <v>0.17100000000000001</v>
      </c>
      <c r="Q185" s="2">
        <v>4.8</v>
      </c>
    </row>
    <row r="186" spans="1:17" x14ac:dyDescent="0.35">
      <c r="A186" s="2">
        <v>60</v>
      </c>
      <c r="B186" s="2">
        <v>25</v>
      </c>
      <c r="C186" s="2" t="s">
        <v>19</v>
      </c>
      <c r="D186" s="2">
        <v>3</v>
      </c>
      <c r="E186" s="2">
        <v>-1.5921000000000001</v>
      </c>
      <c r="F186" s="4" t="s">
        <v>18</v>
      </c>
      <c r="G186" s="2">
        <v>0.81</v>
      </c>
      <c r="H186" s="2">
        <v>1067</v>
      </c>
      <c r="I186" s="2">
        <v>212</v>
      </c>
      <c r="J186" s="2">
        <v>2.8919999999999999</v>
      </c>
      <c r="K186" s="2">
        <v>2.9670000000000001</v>
      </c>
      <c r="L186" s="2">
        <v>3.5459999999999998</v>
      </c>
      <c r="M186" s="2">
        <v>3.008</v>
      </c>
      <c r="N186" s="2">
        <v>-1.8779999999999999</v>
      </c>
      <c r="O186" s="2">
        <v>3.5409999999999999</v>
      </c>
      <c r="P186" s="2">
        <v>5.0000000000000001E-3</v>
      </c>
      <c r="Q186" s="2">
        <v>0.1</v>
      </c>
    </row>
    <row r="187" spans="1:17" x14ac:dyDescent="0.35">
      <c r="A187" s="2">
        <v>60</v>
      </c>
      <c r="B187" s="2">
        <v>26</v>
      </c>
      <c r="C187" s="2" t="s">
        <v>19</v>
      </c>
      <c r="D187" s="2">
        <v>3</v>
      </c>
      <c r="E187" s="2">
        <v>-1.3026</v>
      </c>
      <c r="F187" s="4" t="s">
        <v>18</v>
      </c>
      <c r="G187" s="2">
        <v>0.81</v>
      </c>
      <c r="H187" s="2">
        <v>1067</v>
      </c>
      <c r="I187" s="2">
        <v>212</v>
      </c>
      <c r="J187" s="2">
        <v>2.8919999999999999</v>
      </c>
      <c r="K187" s="2">
        <v>2.9670000000000001</v>
      </c>
      <c r="L187" s="2">
        <v>3.5459999999999998</v>
      </c>
      <c r="M187" s="2">
        <v>3.008</v>
      </c>
      <c r="N187" s="2">
        <v>-1.8779999999999999</v>
      </c>
      <c r="O187" s="2">
        <v>3.3959999999999999</v>
      </c>
      <c r="P187" s="2">
        <v>0.15</v>
      </c>
      <c r="Q187" s="2">
        <v>4.4000000000000004</v>
      </c>
    </row>
    <row r="188" spans="1:17" x14ac:dyDescent="0.35">
      <c r="A188" s="2">
        <v>60</v>
      </c>
      <c r="B188" s="2">
        <v>27</v>
      </c>
      <c r="C188" s="2" t="s">
        <v>19</v>
      </c>
      <c r="D188" s="2">
        <v>3</v>
      </c>
      <c r="E188" s="2">
        <v>-1.0132000000000001</v>
      </c>
      <c r="F188" s="4" t="s">
        <v>18</v>
      </c>
      <c r="G188" s="2">
        <v>0.84</v>
      </c>
      <c r="H188" s="2">
        <v>934</v>
      </c>
      <c r="I188" s="2">
        <v>212</v>
      </c>
      <c r="J188" s="2">
        <v>2.8860000000000001</v>
      </c>
      <c r="K188" s="2">
        <v>2.9609999999999999</v>
      </c>
      <c r="L188" s="2">
        <v>3.2679999999999998</v>
      </c>
      <c r="M188" s="2">
        <v>3.0030000000000001</v>
      </c>
      <c r="N188" s="2">
        <v>-1.2909999999999999</v>
      </c>
      <c r="O188" s="2">
        <v>3.2709999999999999</v>
      </c>
      <c r="P188" s="2">
        <v>-2E-3</v>
      </c>
      <c r="Q188" s="2">
        <v>-0.1</v>
      </c>
    </row>
    <row r="189" spans="1:17" x14ac:dyDescent="0.35">
      <c r="A189" s="2">
        <v>60</v>
      </c>
      <c r="B189" s="2">
        <v>28</v>
      </c>
      <c r="C189" s="2" t="s">
        <v>19</v>
      </c>
      <c r="D189" s="2">
        <v>3</v>
      </c>
      <c r="E189" s="2">
        <v>-0.72370000000000001</v>
      </c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x14ac:dyDescent="0.35">
      <c r="A190" s="2">
        <v>60</v>
      </c>
      <c r="B190" s="2">
        <v>29</v>
      </c>
      <c r="C190" s="2" t="s">
        <v>19</v>
      </c>
      <c r="D190" s="2">
        <v>3</v>
      </c>
      <c r="E190" s="2">
        <v>-0.43419999999999997</v>
      </c>
      <c r="F190" s="4" t="s">
        <v>18</v>
      </c>
      <c r="G190" s="2">
        <v>0.87</v>
      </c>
      <c r="H190" s="2">
        <v>804</v>
      </c>
      <c r="I190" s="2">
        <v>212</v>
      </c>
      <c r="J190" s="2">
        <v>2.8769999999999998</v>
      </c>
      <c r="K190" s="2">
        <v>2.952</v>
      </c>
      <c r="L190" s="2">
        <v>3.0779999999999998</v>
      </c>
      <c r="M190" s="2">
        <v>2.9929999999999999</v>
      </c>
      <c r="N190" s="2">
        <v>-0.71799999999999997</v>
      </c>
      <c r="O190" s="2">
        <v>3.0859999999999999</v>
      </c>
      <c r="P190" s="2">
        <v>-8.0000000000000002E-3</v>
      </c>
      <c r="Q190" s="2">
        <v>-0.3</v>
      </c>
    </row>
    <row r="191" spans="1:17" x14ac:dyDescent="0.35">
      <c r="A191" s="2">
        <v>60</v>
      </c>
      <c r="B191" s="2">
        <v>30</v>
      </c>
      <c r="C191" s="2" t="s">
        <v>19</v>
      </c>
      <c r="D191" s="2">
        <v>3</v>
      </c>
      <c r="E191" s="2">
        <v>-0.1447</v>
      </c>
      <c r="F191" s="4" t="s">
        <v>18</v>
      </c>
      <c r="G191" s="2">
        <v>0.84</v>
      </c>
      <c r="H191" s="2">
        <v>739</v>
      </c>
      <c r="I191" s="2">
        <v>212</v>
      </c>
      <c r="J191" s="2">
        <v>4.5289999999999999</v>
      </c>
      <c r="K191" s="2">
        <v>4.6040000000000001</v>
      </c>
      <c r="L191" s="2">
        <v>4.7169999999999996</v>
      </c>
      <c r="M191" s="2">
        <v>4.6680000000000001</v>
      </c>
      <c r="N191" s="2">
        <v>-0.67600000000000005</v>
      </c>
      <c r="O191" s="2">
        <v>3.0030000000000001</v>
      </c>
      <c r="P191" s="2">
        <v>1.7130000000000001</v>
      </c>
      <c r="Q191" s="2">
        <v>57</v>
      </c>
    </row>
    <row r="192" spans="1:17" x14ac:dyDescent="0.35">
      <c r="A192" s="2">
        <v>60</v>
      </c>
      <c r="B192" s="2">
        <v>31</v>
      </c>
      <c r="C192" s="2" t="s">
        <v>19</v>
      </c>
      <c r="D192" s="2">
        <v>3</v>
      </c>
      <c r="E192" s="2">
        <v>0.1447</v>
      </c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x14ac:dyDescent="0.35">
      <c r="A193" s="2">
        <v>60</v>
      </c>
      <c r="B193" s="2">
        <v>32</v>
      </c>
      <c r="C193" s="2" t="s">
        <v>19</v>
      </c>
      <c r="D193" s="2">
        <v>3</v>
      </c>
      <c r="E193" s="2">
        <v>0.43419999999999997</v>
      </c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x14ac:dyDescent="0.35">
      <c r="A194" s="2">
        <v>60</v>
      </c>
      <c r="B194" s="2">
        <v>33</v>
      </c>
      <c r="C194" s="2" t="s">
        <v>19</v>
      </c>
      <c r="D194" s="2">
        <v>3</v>
      </c>
      <c r="E194" s="2">
        <v>0.72370000000000001</v>
      </c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x14ac:dyDescent="0.35">
      <c r="A195" s="2">
        <v>60</v>
      </c>
      <c r="B195" s="2">
        <v>34</v>
      </c>
      <c r="C195" s="2" t="s">
        <v>19</v>
      </c>
      <c r="D195" s="2">
        <v>3</v>
      </c>
      <c r="E195" s="2">
        <v>1.0132000000000001</v>
      </c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x14ac:dyDescent="0.35">
      <c r="A196" s="2">
        <v>60</v>
      </c>
      <c r="B196" s="2">
        <v>35</v>
      </c>
      <c r="C196" s="2" t="s">
        <v>19</v>
      </c>
      <c r="D196" s="2">
        <v>3</v>
      </c>
      <c r="E196" s="2">
        <v>1.3026</v>
      </c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x14ac:dyDescent="0.35">
      <c r="A197" s="2">
        <v>60</v>
      </c>
      <c r="B197" s="2">
        <v>36</v>
      </c>
      <c r="C197" s="2" t="s">
        <v>19</v>
      </c>
      <c r="D197" s="2">
        <v>3</v>
      </c>
      <c r="E197" s="2">
        <v>1.5921000000000001</v>
      </c>
      <c r="F197" s="4" t="s">
        <v>18</v>
      </c>
      <c r="G197" s="2">
        <v>0.78</v>
      </c>
      <c r="H197" s="2">
        <v>410</v>
      </c>
      <c r="I197" s="2">
        <v>211</v>
      </c>
      <c r="J197" s="2">
        <v>2.88</v>
      </c>
      <c r="K197" s="2">
        <v>2.9550000000000001</v>
      </c>
      <c r="L197" s="2">
        <v>3.1629999999999998</v>
      </c>
      <c r="M197" s="2">
        <v>2.9980000000000002</v>
      </c>
      <c r="N197" s="2">
        <v>1.008</v>
      </c>
      <c r="O197" s="2">
        <v>3.2709999999999999</v>
      </c>
      <c r="P197" s="2">
        <v>-0.108</v>
      </c>
      <c r="Q197" s="2">
        <v>-3.3</v>
      </c>
    </row>
    <row r="198" spans="1:17" x14ac:dyDescent="0.35">
      <c r="A198" s="2">
        <v>60</v>
      </c>
      <c r="B198" s="2">
        <v>37</v>
      </c>
      <c r="C198" s="2" t="s">
        <v>19</v>
      </c>
      <c r="D198" s="2">
        <v>3</v>
      </c>
      <c r="E198" s="2">
        <v>1.8815999999999999</v>
      </c>
      <c r="F198" s="4" t="s">
        <v>18</v>
      </c>
      <c r="G198" s="2">
        <v>0.81</v>
      </c>
      <c r="H198" s="2">
        <v>277</v>
      </c>
      <c r="I198" s="2">
        <v>211</v>
      </c>
      <c r="J198" s="2">
        <v>2.8849999999999998</v>
      </c>
      <c r="K198" s="2">
        <v>2.96</v>
      </c>
      <c r="L198" s="2">
        <v>3.399</v>
      </c>
      <c r="M198" s="2">
        <v>3.0019999999999998</v>
      </c>
      <c r="N198" s="2">
        <v>1.593</v>
      </c>
      <c r="O198" s="2">
        <v>3.5409999999999999</v>
      </c>
      <c r="P198" s="2">
        <v>-0.14299999999999999</v>
      </c>
      <c r="Q198" s="2">
        <v>-4</v>
      </c>
    </row>
    <row r="199" spans="1:17" x14ac:dyDescent="0.35">
      <c r="A199" s="2">
        <v>60</v>
      </c>
      <c r="B199" s="2">
        <v>38</v>
      </c>
      <c r="C199" s="2" t="s">
        <v>19</v>
      </c>
      <c r="D199" s="2">
        <v>3</v>
      </c>
      <c r="E199" s="2">
        <v>2.1711</v>
      </c>
      <c r="F199" s="4" t="s">
        <v>18</v>
      </c>
      <c r="G199" s="2">
        <v>0.79</v>
      </c>
      <c r="H199" s="2">
        <v>211</v>
      </c>
      <c r="I199" s="2">
        <v>211</v>
      </c>
      <c r="J199" s="2">
        <v>2.8879999999999999</v>
      </c>
      <c r="K199" s="2">
        <v>2.9630000000000001</v>
      </c>
      <c r="L199" s="2">
        <v>3.548</v>
      </c>
      <c r="M199" s="2">
        <v>3.0059999999999998</v>
      </c>
      <c r="N199" s="2">
        <v>1.885</v>
      </c>
      <c r="O199" s="2">
        <v>3.5409999999999999</v>
      </c>
      <c r="P199" s="2">
        <v>7.0000000000000001E-3</v>
      </c>
      <c r="Q199" s="2">
        <v>0.2</v>
      </c>
    </row>
    <row r="200" spans="1:17" x14ac:dyDescent="0.35">
      <c r="A200" s="2">
        <v>60</v>
      </c>
      <c r="B200" s="2">
        <v>39</v>
      </c>
      <c r="C200" s="2" t="s">
        <v>19</v>
      </c>
      <c r="D200" s="2">
        <v>3</v>
      </c>
      <c r="E200" s="2">
        <v>2.4605000000000001</v>
      </c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x14ac:dyDescent="0.35">
      <c r="A201" s="2">
        <v>60</v>
      </c>
      <c r="B201" s="2">
        <v>40</v>
      </c>
      <c r="C201" s="2" t="s">
        <v>19</v>
      </c>
      <c r="D201" s="2">
        <v>3</v>
      </c>
      <c r="E201" s="2">
        <v>2.75</v>
      </c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x14ac:dyDescent="0.35">
      <c r="A202" s="2">
        <v>50</v>
      </c>
      <c r="B202" s="2">
        <v>1</v>
      </c>
      <c r="C202" s="2" t="s">
        <v>17</v>
      </c>
      <c r="D202" s="2">
        <v>1</v>
      </c>
      <c r="E202" s="2">
        <v>0</v>
      </c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x14ac:dyDescent="0.35">
      <c r="A203" s="2">
        <v>50</v>
      </c>
      <c r="B203" s="2">
        <v>2</v>
      </c>
      <c r="C203" s="2" t="s">
        <v>17</v>
      </c>
      <c r="D203" s="2">
        <v>1.2632000000000001</v>
      </c>
      <c r="E203" s="2">
        <v>0</v>
      </c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x14ac:dyDescent="0.35">
      <c r="A204" s="2">
        <v>50</v>
      </c>
      <c r="B204" s="2">
        <v>3</v>
      </c>
      <c r="C204" s="2" t="s">
        <v>17</v>
      </c>
      <c r="D204" s="2">
        <v>1.5263</v>
      </c>
      <c r="E204" s="2">
        <v>0</v>
      </c>
      <c r="F204" s="4" t="s">
        <v>18</v>
      </c>
      <c r="G204" s="2">
        <v>0.9</v>
      </c>
      <c r="H204" s="2">
        <v>639</v>
      </c>
      <c r="I204" s="2">
        <v>303</v>
      </c>
      <c r="J204" s="2">
        <v>1.4890000000000001</v>
      </c>
      <c r="K204" s="2">
        <v>1.5640000000000001</v>
      </c>
      <c r="L204" s="2">
        <v>1.512</v>
      </c>
      <c r="M204" s="2">
        <v>1.512</v>
      </c>
      <c r="N204" s="2">
        <v>2E-3</v>
      </c>
      <c r="O204" s="2">
        <v>1.526</v>
      </c>
      <c r="P204" s="2">
        <v>-1.4E-2</v>
      </c>
      <c r="Q204" s="2">
        <v>-0.9</v>
      </c>
    </row>
    <row r="205" spans="1:17" x14ac:dyDescent="0.35">
      <c r="A205" s="2">
        <v>50</v>
      </c>
      <c r="B205" s="2">
        <v>4</v>
      </c>
      <c r="C205" s="2" t="s">
        <v>17</v>
      </c>
      <c r="D205" s="2">
        <v>1.7895000000000001</v>
      </c>
      <c r="E205" s="2">
        <v>0</v>
      </c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x14ac:dyDescent="0.35">
      <c r="A206" s="2">
        <v>50</v>
      </c>
      <c r="B206" s="2">
        <v>5</v>
      </c>
      <c r="C206" s="2" t="s">
        <v>17</v>
      </c>
      <c r="D206" s="2">
        <v>2.0526</v>
      </c>
      <c r="E206" s="2">
        <v>0</v>
      </c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x14ac:dyDescent="0.35">
      <c r="A207" s="2">
        <v>50</v>
      </c>
      <c r="B207" s="2">
        <v>6</v>
      </c>
      <c r="C207" s="2" t="s">
        <v>17</v>
      </c>
      <c r="D207" s="2">
        <v>2.3157999999999999</v>
      </c>
      <c r="E207" s="2">
        <v>0</v>
      </c>
      <c r="F207" s="4" t="s">
        <v>18</v>
      </c>
      <c r="G207" s="2">
        <v>0.88</v>
      </c>
      <c r="H207" s="2">
        <v>639</v>
      </c>
      <c r="I207" s="2">
        <v>257</v>
      </c>
      <c r="J207" s="2">
        <v>1.984</v>
      </c>
      <c r="K207" s="2">
        <v>2.0590000000000002</v>
      </c>
      <c r="L207" s="2">
        <v>2.04</v>
      </c>
      <c r="M207" s="2">
        <v>2.04</v>
      </c>
      <c r="N207" s="2">
        <v>3.0000000000000001E-3</v>
      </c>
      <c r="O207" s="2">
        <v>2.0529999999999999</v>
      </c>
      <c r="P207" s="2">
        <v>-1.2E-2</v>
      </c>
      <c r="Q207" s="2">
        <v>-0.6</v>
      </c>
    </row>
    <row r="208" spans="1:17" x14ac:dyDescent="0.35">
      <c r="A208" s="2">
        <v>50</v>
      </c>
      <c r="B208" s="2">
        <v>7</v>
      </c>
      <c r="C208" s="2" t="s">
        <v>17</v>
      </c>
      <c r="D208" s="2">
        <v>2.5789</v>
      </c>
      <c r="E208" s="2">
        <v>0</v>
      </c>
      <c r="F208" s="4" t="s">
        <v>18</v>
      </c>
      <c r="G208" s="2">
        <v>0.56999999999999995</v>
      </c>
      <c r="H208" s="2">
        <v>640</v>
      </c>
      <c r="I208" s="2">
        <v>241</v>
      </c>
      <c r="J208" s="2">
        <v>2.2320000000000002</v>
      </c>
      <c r="K208" s="2">
        <v>2.3069999999999999</v>
      </c>
      <c r="L208" s="2">
        <v>2.3039999999999998</v>
      </c>
      <c r="M208" s="2">
        <v>2.3039999999999998</v>
      </c>
      <c r="N208" s="2">
        <v>0</v>
      </c>
      <c r="O208" s="2">
        <v>2.3159999999999998</v>
      </c>
      <c r="P208" s="2">
        <v>-1.2E-2</v>
      </c>
      <c r="Q208" s="2">
        <v>-0.5</v>
      </c>
    </row>
    <row r="209" spans="1:17" x14ac:dyDescent="0.35">
      <c r="A209" s="2">
        <v>50</v>
      </c>
      <c r="B209" s="2">
        <v>8</v>
      </c>
      <c r="C209" s="2" t="s">
        <v>17</v>
      </c>
      <c r="D209" s="2">
        <v>2.8420999999999998</v>
      </c>
      <c r="E209" s="2">
        <v>0</v>
      </c>
      <c r="F209" s="4" t="s">
        <v>18</v>
      </c>
      <c r="G209" s="2">
        <v>0.84</v>
      </c>
      <c r="H209" s="2">
        <v>639</v>
      </c>
      <c r="I209" s="2">
        <v>227</v>
      </c>
      <c r="J209" s="2">
        <v>2.4769999999999999</v>
      </c>
      <c r="K209" s="2">
        <v>2.552</v>
      </c>
      <c r="L209" s="2">
        <v>2.5680000000000001</v>
      </c>
      <c r="M209" s="2">
        <v>2.5680000000000001</v>
      </c>
      <c r="N209" s="2">
        <v>4.0000000000000001E-3</v>
      </c>
      <c r="O209" s="2">
        <v>2.5790000000000002</v>
      </c>
      <c r="P209" s="2">
        <v>-1.0999999999999999E-2</v>
      </c>
      <c r="Q209" s="2">
        <v>-0.4</v>
      </c>
    </row>
    <row r="210" spans="1:17" x14ac:dyDescent="0.35">
      <c r="A210" s="2">
        <v>50</v>
      </c>
      <c r="B210" s="2">
        <v>9</v>
      </c>
      <c r="C210" s="2" t="s">
        <v>17</v>
      </c>
      <c r="D210" s="2">
        <v>3.1053000000000002</v>
      </c>
      <c r="E210" s="2">
        <v>0</v>
      </c>
      <c r="F210" s="4" t="s">
        <v>18</v>
      </c>
      <c r="G210" s="2">
        <v>0.57999999999999996</v>
      </c>
      <c r="H210" s="2">
        <v>640</v>
      </c>
      <c r="I210" s="2">
        <v>218</v>
      </c>
      <c r="J210" s="2">
        <v>2.726</v>
      </c>
      <c r="K210" s="2">
        <v>2.8010000000000002</v>
      </c>
      <c r="L210" s="2">
        <v>2.8319999999999999</v>
      </c>
      <c r="M210" s="2">
        <v>2.8319999999999999</v>
      </c>
      <c r="N210" s="2">
        <v>0</v>
      </c>
      <c r="O210" s="2">
        <v>2.8420000000000001</v>
      </c>
      <c r="P210" s="2">
        <v>-0.01</v>
      </c>
      <c r="Q210" s="2">
        <v>-0.4</v>
      </c>
    </row>
    <row r="211" spans="1:17" x14ac:dyDescent="0.35">
      <c r="A211" s="2">
        <v>50</v>
      </c>
      <c r="B211" s="2">
        <v>10</v>
      </c>
      <c r="C211" s="2" t="s">
        <v>17</v>
      </c>
      <c r="D211" s="2">
        <v>3.3683999999999998</v>
      </c>
      <c r="E211" s="2">
        <v>0</v>
      </c>
      <c r="F211" s="4" t="s">
        <v>18</v>
      </c>
      <c r="G211" s="2">
        <v>0.26</v>
      </c>
      <c r="H211" s="2">
        <v>639</v>
      </c>
      <c r="I211" s="2">
        <v>209</v>
      </c>
      <c r="J211" s="2">
        <v>2.9729999999999999</v>
      </c>
      <c r="K211" s="2">
        <v>3.048</v>
      </c>
      <c r="L211" s="2">
        <v>3.0950000000000002</v>
      </c>
      <c r="M211" s="2">
        <v>3.0950000000000002</v>
      </c>
      <c r="N211" s="2">
        <v>5.0000000000000001E-3</v>
      </c>
      <c r="O211" s="2">
        <v>3.105</v>
      </c>
      <c r="P211" s="2">
        <v>-0.01</v>
      </c>
      <c r="Q211" s="2">
        <v>-0.3</v>
      </c>
    </row>
    <row r="212" spans="1:17" x14ac:dyDescent="0.35">
      <c r="A212" s="2">
        <v>50</v>
      </c>
      <c r="B212" s="2">
        <v>11</v>
      </c>
      <c r="C212" s="2" t="s">
        <v>17</v>
      </c>
      <c r="D212" s="2">
        <v>3.6316000000000002</v>
      </c>
      <c r="E212" s="2">
        <v>0</v>
      </c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x14ac:dyDescent="0.35">
      <c r="A213" s="2">
        <v>50</v>
      </c>
      <c r="B213" s="2">
        <v>12</v>
      </c>
      <c r="C213" s="2" t="s">
        <v>17</v>
      </c>
      <c r="D213" s="2">
        <v>3.8946999999999998</v>
      </c>
      <c r="E213" s="2">
        <v>0</v>
      </c>
      <c r="F213" s="4" t="s">
        <v>18</v>
      </c>
      <c r="G213" s="2">
        <v>0.76</v>
      </c>
      <c r="H213" s="2">
        <v>640</v>
      </c>
      <c r="I213" s="2">
        <v>194</v>
      </c>
      <c r="J213" s="2">
        <v>3.4649999999999999</v>
      </c>
      <c r="K213" s="2">
        <v>3.54</v>
      </c>
      <c r="L213" s="2">
        <v>3.6219999999999999</v>
      </c>
      <c r="M213" s="2">
        <v>3.6219999999999999</v>
      </c>
      <c r="N213" s="2">
        <v>0</v>
      </c>
      <c r="O213" s="2">
        <v>3.6320000000000001</v>
      </c>
      <c r="P213" s="2">
        <v>-8.9999999999999993E-3</v>
      </c>
      <c r="Q213" s="2">
        <v>-0.3</v>
      </c>
    </row>
    <row r="214" spans="1:17" x14ac:dyDescent="0.35">
      <c r="A214" s="2">
        <v>50</v>
      </c>
      <c r="B214" s="2">
        <v>13</v>
      </c>
      <c r="C214" s="2" t="s">
        <v>17</v>
      </c>
      <c r="D214" s="2">
        <v>4.1578999999999997</v>
      </c>
      <c r="E214" s="2">
        <v>0</v>
      </c>
      <c r="F214" s="4" t="s">
        <v>18</v>
      </c>
      <c r="G214" s="2">
        <v>0.79</v>
      </c>
      <c r="H214" s="2">
        <v>640</v>
      </c>
      <c r="I214" s="2">
        <v>189</v>
      </c>
      <c r="J214" s="2">
        <v>3.7130000000000001</v>
      </c>
      <c r="K214" s="2">
        <v>3.7879999999999998</v>
      </c>
      <c r="L214" s="2">
        <v>3.8860000000000001</v>
      </c>
      <c r="M214" s="2">
        <v>3.8860000000000001</v>
      </c>
      <c r="N214" s="2">
        <v>0</v>
      </c>
      <c r="O214" s="2">
        <v>3.895</v>
      </c>
      <c r="P214" s="2">
        <v>-8.9999999999999993E-3</v>
      </c>
      <c r="Q214" s="2">
        <v>-0.2</v>
      </c>
    </row>
    <row r="215" spans="1:17" x14ac:dyDescent="0.35">
      <c r="A215" s="2">
        <v>50</v>
      </c>
      <c r="B215" s="2">
        <v>14</v>
      </c>
      <c r="C215" s="2" t="s">
        <v>17</v>
      </c>
      <c r="D215" s="2">
        <v>4.4211</v>
      </c>
      <c r="E215" s="2">
        <v>0</v>
      </c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x14ac:dyDescent="0.35">
      <c r="A216" s="2">
        <v>50</v>
      </c>
      <c r="B216" s="2">
        <v>15</v>
      </c>
      <c r="C216" s="2" t="s">
        <v>17</v>
      </c>
      <c r="D216" s="2">
        <v>4.6841999999999997</v>
      </c>
      <c r="E216" s="2">
        <v>0</v>
      </c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x14ac:dyDescent="0.35">
      <c r="A217" s="2">
        <v>50</v>
      </c>
      <c r="B217" s="2">
        <v>16</v>
      </c>
      <c r="C217" s="2" t="s">
        <v>17</v>
      </c>
      <c r="D217" s="2">
        <v>4.9474</v>
      </c>
      <c r="E217" s="2">
        <v>0</v>
      </c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x14ac:dyDescent="0.35">
      <c r="A218" s="2">
        <v>50</v>
      </c>
      <c r="B218" s="2">
        <v>17</v>
      </c>
      <c r="C218" s="2" t="s">
        <v>17</v>
      </c>
      <c r="D218" s="2">
        <v>5.2104999999999997</v>
      </c>
      <c r="E218" s="2">
        <v>0</v>
      </c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x14ac:dyDescent="0.35">
      <c r="A219" s="2">
        <v>50</v>
      </c>
      <c r="B219" s="2">
        <v>18</v>
      </c>
      <c r="C219" s="2" t="s">
        <v>17</v>
      </c>
      <c r="D219" s="2">
        <v>5.4737</v>
      </c>
      <c r="E219" s="2">
        <v>0</v>
      </c>
      <c r="F219" s="4" t="s">
        <v>18</v>
      </c>
      <c r="G219" s="2">
        <v>0.55000000000000004</v>
      </c>
      <c r="H219" s="2">
        <v>640</v>
      </c>
      <c r="I219" s="2">
        <v>169</v>
      </c>
      <c r="J219" s="2">
        <v>4.9459999999999997</v>
      </c>
      <c r="K219" s="2">
        <v>5.0209999999999999</v>
      </c>
      <c r="L219" s="2">
        <v>5.2030000000000003</v>
      </c>
      <c r="M219" s="2">
        <v>5.2030000000000003</v>
      </c>
      <c r="N219" s="2">
        <v>0</v>
      </c>
      <c r="O219" s="2">
        <v>5.4740000000000002</v>
      </c>
      <c r="P219" s="2">
        <v>-0.27100000000000002</v>
      </c>
      <c r="Q219" s="2">
        <v>-5</v>
      </c>
    </row>
    <row r="220" spans="1:17" x14ac:dyDescent="0.35">
      <c r="A220" s="2">
        <v>50</v>
      </c>
      <c r="B220" s="2">
        <v>19</v>
      </c>
      <c r="C220" s="2" t="s">
        <v>17</v>
      </c>
      <c r="D220" s="2">
        <v>5.7367999999999997</v>
      </c>
      <c r="E220" s="2">
        <v>0</v>
      </c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x14ac:dyDescent="0.35">
      <c r="A221" s="2">
        <v>50</v>
      </c>
      <c r="B221" s="2">
        <v>20</v>
      </c>
      <c r="C221" s="2" t="s">
        <v>17</v>
      </c>
      <c r="D221" s="2">
        <v>6</v>
      </c>
      <c r="E221" s="2">
        <v>0</v>
      </c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x14ac:dyDescent="0.35">
      <c r="A222" s="2">
        <v>50</v>
      </c>
      <c r="B222" s="2">
        <v>21</v>
      </c>
      <c r="C222" s="2" t="s">
        <v>19</v>
      </c>
      <c r="D222" s="2">
        <v>3</v>
      </c>
      <c r="E222" s="2">
        <v>-2.75</v>
      </c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x14ac:dyDescent="0.35">
      <c r="A223" s="2">
        <v>50</v>
      </c>
      <c r="B223" s="2">
        <v>22</v>
      </c>
      <c r="C223" s="2" t="s">
        <v>19</v>
      </c>
      <c r="D223" s="2">
        <v>3</v>
      </c>
      <c r="E223" s="2">
        <v>-2.4605000000000001</v>
      </c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x14ac:dyDescent="0.35">
      <c r="A224" s="2">
        <v>50</v>
      </c>
      <c r="B224" s="2">
        <v>23</v>
      </c>
      <c r="C224" s="2" t="s">
        <v>19</v>
      </c>
      <c r="D224" s="2">
        <v>3</v>
      </c>
      <c r="E224" s="2">
        <v>-2.1711</v>
      </c>
      <c r="F224" s="4" t="s">
        <v>18</v>
      </c>
      <c r="G224" s="2">
        <v>0.74</v>
      </c>
      <c r="H224" s="2">
        <v>1200</v>
      </c>
      <c r="I224" s="2">
        <v>210</v>
      </c>
      <c r="J224" s="2">
        <v>2.895</v>
      </c>
      <c r="K224" s="2">
        <v>2.97</v>
      </c>
      <c r="L224" s="2">
        <v>3.8940000000000001</v>
      </c>
      <c r="M224" s="2">
        <v>3.0139999999999998</v>
      </c>
      <c r="N224" s="2">
        <v>-2.4660000000000002</v>
      </c>
      <c r="O224" s="2">
        <v>3.88</v>
      </c>
      <c r="P224" s="2">
        <v>1.4E-2</v>
      </c>
      <c r="Q224" s="2">
        <v>0.4</v>
      </c>
    </row>
    <row r="225" spans="1:17" x14ac:dyDescent="0.35">
      <c r="A225" s="2">
        <v>50</v>
      </c>
      <c r="B225" s="2">
        <v>24</v>
      </c>
      <c r="C225" s="2" t="s">
        <v>19</v>
      </c>
      <c r="D225" s="2">
        <v>3</v>
      </c>
      <c r="E225" s="2">
        <v>-1.8815999999999999</v>
      </c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x14ac:dyDescent="0.35">
      <c r="A226" s="2">
        <v>50</v>
      </c>
      <c r="B226" s="2">
        <v>25</v>
      </c>
      <c r="C226" s="2" t="s">
        <v>19</v>
      </c>
      <c r="D226" s="2">
        <v>3</v>
      </c>
      <c r="E226" s="2">
        <v>-1.5921000000000001</v>
      </c>
      <c r="F226" s="4" t="s">
        <v>18</v>
      </c>
      <c r="G226" s="2">
        <v>0.82</v>
      </c>
      <c r="H226" s="2">
        <v>1067</v>
      </c>
      <c r="I226" s="2">
        <v>212</v>
      </c>
      <c r="J226" s="2">
        <v>2.8919999999999999</v>
      </c>
      <c r="K226" s="2">
        <v>2.9670000000000001</v>
      </c>
      <c r="L226" s="2">
        <v>3.5459999999999998</v>
      </c>
      <c r="M226" s="2">
        <v>3.008</v>
      </c>
      <c r="N226" s="2">
        <v>-1.8779999999999999</v>
      </c>
      <c r="O226" s="2">
        <v>3.5409999999999999</v>
      </c>
      <c r="P226" s="2">
        <v>5.0000000000000001E-3</v>
      </c>
      <c r="Q226" s="2">
        <v>0.1</v>
      </c>
    </row>
    <row r="227" spans="1:17" x14ac:dyDescent="0.35">
      <c r="A227" s="2">
        <v>50</v>
      </c>
      <c r="B227" s="2">
        <v>26</v>
      </c>
      <c r="C227" s="2" t="s">
        <v>19</v>
      </c>
      <c r="D227" s="2">
        <v>3</v>
      </c>
      <c r="E227" s="2">
        <v>-1.3026</v>
      </c>
      <c r="F227" s="4" t="s">
        <v>18</v>
      </c>
      <c r="G227" s="2">
        <v>0.73</v>
      </c>
      <c r="H227" s="2">
        <v>999</v>
      </c>
      <c r="I227" s="2">
        <v>212</v>
      </c>
      <c r="J227" s="2">
        <v>2.8929999999999998</v>
      </c>
      <c r="K227" s="2">
        <v>2.968</v>
      </c>
      <c r="L227" s="2">
        <v>3.399</v>
      </c>
      <c r="M227" s="2">
        <v>3.0089999999999999</v>
      </c>
      <c r="N227" s="2">
        <v>-1.58</v>
      </c>
      <c r="O227" s="2">
        <v>3.3959999999999999</v>
      </c>
      <c r="P227" s="2">
        <v>2E-3</v>
      </c>
      <c r="Q227" s="2">
        <v>0.1</v>
      </c>
    </row>
    <row r="228" spans="1:17" x14ac:dyDescent="0.35">
      <c r="A228" s="2">
        <v>50</v>
      </c>
      <c r="B228" s="2">
        <v>27</v>
      </c>
      <c r="C228" s="2" t="s">
        <v>19</v>
      </c>
      <c r="D228" s="2">
        <v>3</v>
      </c>
      <c r="E228" s="2">
        <v>-1.0132000000000001</v>
      </c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x14ac:dyDescent="0.35">
      <c r="A229" s="2">
        <v>50</v>
      </c>
      <c r="B229" s="2">
        <v>28</v>
      </c>
      <c r="C229" s="2" t="s">
        <v>19</v>
      </c>
      <c r="D229" s="2">
        <v>3</v>
      </c>
      <c r="E229" s="2">
        <v>-0.72370000000000001</v>
      </c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x14ac:dyDescent="0.35">
      <c r="A230" s="2">
        <v>50</v>
      </c>
      <c r="B230" s="2">
        <v>29</v>
      </c>
      <c r="C230" s="2" t="s">
        <v>19</v>
      </c>
      <c r="D230" s="2">
        <v>3</v>
      </c>
      <c r="E230" s="2">
        <v>-0.43419999999999997</v>
      </c>
      <c r="F230" s="4" t="s">
        <v>18</v>
      </c>
      <c r="G230" s="2">
        <v>0.86</v>
      </c>
      <c r="H230" s="2">
        <v>804</v>
      </c>
      <c r="I230" s="2">
        <v>212</v>
      </c>
      <c r="J230" s="2">
        <v>2.8769999999999998</v>
      </c>
      <c r="K230" s="2">
        <v>2.952</v>
      </c>
      <c r="L230" s="2">
        <v>3.0779999999999998</v>
      </c>
      <c r="M230" s="2">
        <v>2.9929999999999999</v>
      </c>
      <c r="N230" s="2">
        <v>-0.71799999999999997</v>
      </c>
      <c r="O230" s="2">
        <v>3.0859999999999999</v>
      </c>
      <c r="P230" s="2">
        <v>-8.0000000000000002E-3</v>
      </c>
      <c r="Q230" s="2">
        <v>-0.3</v>
      </c>
    </row>
    <row r="231" spans="1:17" x14ac:dyDescent="0.35">
      <c r="A231" s="2">
        <v>50</v>
      </c>
      <c r="B231" s="2">
        <v>30</v>
      </c>
      <c r="C231" s="2" t="s">
        <v>19</v>
      </c>
      <c r="D231" s="2">
        <v>3</v>
      </c>
      <c r="E231" s="2">
        <v>-0.1447</v>
      </c>
      <c r="F231" s="4" t="s">
        <v>18</v>
      </c>
      <c r="G231" s="2">
        <v>0.85</v>
      </c>
      <c r="H231" s="2">
        <v>739</v>
      </c>
      <c r="I231" s="2">
        <v>212</v>
      </c>
      <c r="J231" s="2">
        <v>2.875</v>
      </c>
      <c r="K231" s="2">
        <v>2.95</v>
      </c>
      <c r="L231" s="2">
        <v>3.0219999999999998</v>
      </c>
      <c r="M231" s="2">
        <v>2.9910000000000001</v>
      </c>
      <c r="N231" s="2">
        <v>-0.433</v>
      </c>
      <c r="O231" s="2">
        <v>3.0310000000000001</v>
      </c>
      <c r="P231" s="2">
        <v>-8.9999999999999993E-3</v>
      </c>
      <c r="Q231" s="2">
        <v>-0.3</v>
      </c>
    </row>
    <row r="232" spans="1:17" x14ac:dyDescent="0.35">
      <c r="A232" s="2">
        <v>50</v>
      </c>
      <c r="B232" s="2">
        <v>31</v>
      </c>
      <c r="C232" s="2" t="s">
        <v>19</v>
      </c>
      <c r="D232" s="2">
        <v>3</v>
      </c>
      <c r="E232" s="2">
        <v>0.1447</v>
      </c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x14ac:dyDescent="0.35">
      <c r="A233" s="2">
        <v>50</v>
      </c>
      <c r="B233" s="2">
        <v>32</v>
      </c>
      <c r="C233" s="2" t="s">
        <v>19</v>
      </c>
      <c r="D233" s="2">
        <v>3</v>
      </c>
      <c r="E233" s="2">
        <v>0.43419999999999997</v>
      </c>
      <c r="F233" s="4" t="s">
        <v>18</v>
      </c>
      <c r="G233" s="2">
        <v>0.69</v>
      </c>
      <c r="H233" s="2">
        <v>607</v>
      </c>
      <c r="I233" s="2">
        <v>212</v>
      </c>
      <c r="J233" s="2">
        <v>2.8740000000000001</v>
      </c>
      <c r="K233" s="2">
        <v>2.9489999999999998</v>
      </c>
      <c r="L233" s="2">
        <v>2.9940000000000002</v>
      </c>
      <c r="M233" s="2">
        <v>2.99</v>
      </c>
      <c r="N233" s="2">
        <v>0.14399999999999999</v>
      </c>
      <c r="O233" s="2">
        <v>3.0030000000000001</v>
      </c>
      <c r="P233" s="2">
        <v>-0.01</v>
      </c>
      <c r="Q233" s="2">
        <v>-0.3</v>
      </c>
    </row>
    <row r="234" spans="1:17" x14ac:dyDescent="0.35">
      <c r="A234" s="2">
        <v>50</v>
      </c>
      <c r="B234" s="2">
        <v>33</v>
      </c>
      <c r="C234" s="2" t="s">
        <v>19</v>
      </c>
      <c r="D234" s="2">
        <v>3</v>
      </c>
      <c r="E234" s="2">
        <v>0.72370000000000001</v>
      </c>
      <c r="F234" s="4" t="s">
        <v>18</v>
      </c>
      <c r="G234" s="2">
        <v>0.84</v>
      </c>
      <c r="H234" s="2">
        <v>542</v>
      </c>
      <c r="I234" s="2">
        <v>212</v>
      </c>
      <c r="J234" s="2">
        <v>2.8759999999999999</v>
      </c>
      <c r="K234" s="2">
        <v>2.9510000000000001</v>
      </c>
      <c r="L234" s="2">
        <v>3.0230000000000001</v>
      </c>
      <c r="M234" s="2">
        <v>2.992</v>
      </c>
      <c r="N234" s="2">
        <v>0.42899999999999999</v>
      </c>
      <c r="O234" s="2">
        <v>3.0310000000000001</v>
      </c>
      <c r="P234" s="2">
        <v>-8.0000000000000002E-3</v>
      </c>
      <c r="Q234" s="2">
        <v>-0.3</v>
      </c>
    </row>
    <row r="235" spans="1:17" x14ac:dyDescent="0.35">
      <c r="A235" s="2">
        <v>50</v>
      </c>
      <c r="B235" s="2">
        <v>34</v>
      </c>
      <c r="C235" s="2" t="s">
        <v>19</v>
      </c>
      <c r="D235" s="2">
        <v>3</v>
      </c>
      <c r="E235" s="2">
        <v>1.0132000000000001</v>
      </c>
      <c r="F235" s="4" t="s">
        <v>18</v>
      </c>
      <c r="G235" s="2">
        <v>0.78</v>
      </c>
      <c r="H235" s="2">
        <v>410</v>
      </c>
      <c r="I235" s="2">
        <v>211</v>
      </c>
      <c r="J235" s="2">
        <v>2.88</v>
      </c>
      <c r="K235" s="2">
        <v>2.9550000000000001</v>
      </c>
      <c r="L235" s="2">
        <v>3.1629999999999998</v>
      </c>
      <c r="M235" s="2">
        <v>2.9980000000000002</v>
      </c>
      <c r="N235" s="2">
        <v>1.008</v>
      </c>
      <c r="O235" s="2">
        <v>3.1659999999999999</v>
      </c>
      <c r="P235" s="2">
        <v>-4.0000000000000001E-3</v>
      </c>
      <c r="Q235" s="2">
        <v>-0.1</v>
      </c>
    </row>
    <row r="236" spans="1:17" x14ac:dyDescent="0.35">
      <c r="A236" s="2">
        <v>50</v>
      </c>
      <c r="B236" s="2">
        <v>35</v>
      </c>
      <c r="C236" s="2" t="s">
        <v>19</v>
      </c>
      <c r="D236" s="2">
        <v>3</v>
      </c>
      <c r="E236" s="2">
        <v>1.3026</v>
      </c>
      <c r="F236" s="4" t="s">
        <v>18</v>
      </c>
      <c r="G236" s="2">
        <v>0.78</v>
      </c>
      <c r="H236" s="2">
        <v>410</v>
      </c>
      <c r="I236" s="2">
        <v>211</v>
      </c>
      <c r="J236" s="2">
        <v>2.88</v>
      </c>
      <c r="K236" s="2">
        <v>2.9550000000000001</v>
      </c>
      <c r="L236" s="2">
        <v>3.1629999999999998</v>
      </c>
      <c r="M236" s="2">
        <v>2.9980000000000002</v>
      </c>
      <c r="N236" s="2">
        <v>1.008</v>
      </c>
      <c r="O236" s="2">
        <v>3.1659999999999999</v>
      </c>
      <c r="P236" s="2">
        <v>-4.0000000000000001E-3</v>
      </c>
      <c r="Q236" s="2">
        <v>-0.1</v>
      </c>
    </row>
    <row r="237" spans="1:17" x14ac:dyDescent="0.35">
      <c r="A237" s="2">
        <v>50</v>
      </c>
      <c r="B237" s="2">
        <v>36</v>
      </c>
      <c r="C237" s="2" t="s">
        <v>19</v>
      </c>
      <c r="D237" s="2">
        <v>3</v>
      </c>
      <c r="E237" s="2">
        <v>1.5921000000000001</v>
      </c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x14ac:dyDescent="0.35">
      <c r="A238" s="2">
        <v>50</v>
      </c>
      <c r="B238" s="2">
        <v>37</v>
      </c>
      <c r="C238" s="2" t="s">
        <v>19</v>
      </c>
      <c r="D238" s="2">
        <v>3</v>
      </c>
      <c r="E238" s="2">
        <v>1.8815999999999999</v>
      </c>
      <c r="F238" s="4" t="s">
        <v>18</v>
      </c>
      <c r="G238" s="2">
        <v>0.8</v>
      </c>
      <c r="H238" s="2">
        <v>277</v>
      </c>
      <c r="I238" s="2">
        <v>211</v>
      </c>
      <c r="J238" s="2">
        <v>2.8849999999999998</v>
      </c>
      <c r="K238" s="2">
        <v>2.96</v>
      </c>
      <c r="L238" s="2">
        <v>3.399</v>
      </c>
      <c r="M238" s="2">
        <v>3.0019999999999998</v>
      </c>
      <c r="N238" s="2">
        <v>1.593</v>
      </c>
      <c r="O238" s="2">
        <v>3.3959999999999999</v>
      </c>
      <c r="P238" s="2">
        <v>2E-3</v>
      </c>
      <c r="Q238" s="2">
        <v>0.1</v>
      </c>
    </row>
    <row r="239" spans="1:17" x14ac:dyDescent="0.35">
      <c r="A239" s="2">
        <v>50</v>
      </c>
      <c r="B239" s="2">
        <v>38</v>
      </c>
      <c r="C239" s="2" t="s">
        <v>19</v>
      </c>
      <c r="D239" s="2">
        <v>3</v>
      </c>
      <c r="E239" s="2">
        <v>2.1711</v>
      </c>
      <c r="F239" s="4" t="s">
        <v>18</v>
      </c>
      <c r="G239" s="2">
        <v>0.77</v>
      </c>
      <c r="H239" s="2">
        <v>211</v>
      </c>
      <c r="I239" s="2">
        <v>211</v>
      </c>
      <c r="J239" s="2">
        <v>2.8879999999999999</v>
      </c>
      <c r="K239" s="2">
        <v>2.9630000000000001</v>
      </c>
      <c r="L239" s="2">
        <v>3.548</v>
      </c>
      <c r="M239" s="2">
        <v>3.0059999999999998</v>
      </c>
      <c r="N239" s="2">
        <v>1.885</v>
      </c>
      <c r="O239" s="2">
        <v>3.5409999999999999</v>
      </c>
      <c r="P239" s="2">
        <v>7.0000000000000001E-3</v>
      </c>
      <c r="Q239" s="2">
        <v>0.2</v>
      </c>
    </row>
    <row r="240" spans="1:17" x14ac:dyDescent="0.35">
      <c r="A240" s="2">
        <v>50</v>
      </c>
      <c r="B240" s="2">
        <v>39</v>
      </c>
      <c r="C240" s="2" t="s">
        <v>19</v>
      </c>
      <c r="D240" s="2">
        <v>3</v>
      </c>
      <c r="E240" s="2">
        <v>2.4605000000000001</v>
      </c>
      <c r="F240" s="4" t="s">
        <v>18</v>
      </c>
      <c r="G240" s="2">
        <v>0.73</v>
      </c>
      <c r="H240" s="2">
        <v>145</v>
      </c>
      <c r="I240" s="2">
        <v>211</v>
      </c>
      <c r="J240" s="2">
        <v>2.8919999999999999</v>
      </c>
      <c r="K240" s="2">
        <v>2.9670000000000001</v>
      </c>
      <c r="L240" s="2">
        <v>3.7149999999999999</v>
      </c>
      <c r="M240" s="2">
        <v>3.01</v>
      </c>
      <c r="N240" s="2">
        <v>2.1779999999999999</v>
      </c>
      <c r="O240" s="2">
        <v>3.7029999999999998</v>
      </c>
      <c r="P240" s="2">
        <v>1.2E-2</v>
      </c>
      <c r="Q240" s="2">
        <v>0.3</v>
      </c>
    </row>
    <row r="241" spans="1:17" x14ac:dyDescent="0.35">
      <c r="A241" s="2">
        <v>50</v>
      </c>
      <c r="B241" s="2">
        <v>40</v>
      </c>
      <c r="C241" s="2" t="s">
        <v>19</v>
      </c>
      <c r="D241" s="2">
        <v>3</v>
      </c>
      <c r="E241" s="2">
        <v>2.75</v>
      </c>
      <c r="F241" s="4" t="s">
        <v>18</v>
      </c>
      <c r="G241" s="2">
        <v>0.76</v>
      </c>
      <c r="H241" s="2">
        <v>78</v>
      </c>
      <c r="I241" s="2">
        <v>211</v>
      </c>
      <c r="J241" s="2">
        <v>2.8929999999999998</v>
      </c>
      <c r="K241" s="2">
        <v>2.968</v>
      </c>
      <c r="L241" s="2">
        <v>3.8959999999999999</v>
      </c>
      <c r="M241" s="2">
        <v>3.0110000000000001</v>
      </c>
      <c r="N241" s="2">
        <v>2.4729999999999999</v>
      </c>
      <c r="O241" s="2">
        <v>3.88</v>
      </c>
      <c r="P241" s="2">
        <v>1.6E-2</v>
      </c>
      <c r="Q241" s="2">
        <v>0.4</v>
      </c>
    </row>
    <row r="242" spans="1:17" x14ac:dyDescent="0.35">
      <c r="A242" s="2">
        <v>40</v>
      </c>
      <c r="B242" s="2">
        <v>1</v>
      </c>
      <c r="C242" s="2" t="s">
        <v>17</v>
      </c>
      <c r="D242" s="2">
        <v>1</v>
      </c>
      <c r="E242" s="2">
        <v>0</v>
      </c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x14ac:dyDescent="0.35">
      <c r="A243" s="2">
        <v>40</v>
      </c>
      <c r="B243" s="2">
        <v>2</v>
      </c>
      <c r="C243" s="2" t="s">
        <v>17</v>
      </c>
      <c r="D243" s="2">
        <v>1.2632000000000001</v>
      </c>
      <c r="E243" s="2">
        <v>0</v>
      </c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x14ac:dyDescent="0.35">
      <c r="A244" s="2">
        <v>40</v>
      </c>
      <c r="B244" s="2">
        <v>3</v>
      </c>
      <c r="C244" s="2" t="s">
        <v>17</v>
      </c>
      <c r="D244" s="2">
        <v>1.5263</v>
      </c>
      <c r="E244" s="2">
        <v>0</v>
      </c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x14ac:dyDescent="0.35">
      <c r="A245" s="2">
        <v>40</v>
      </c>
      <c r="B245" s="2">
        <v>4</v>
      </c>
      <c r="C245" s="2" t="s">
        <v>17</v>
      </c>
      <c r="D245" s="2">
        <v>1.7895000000000001</v>
      </c>
      <c r="E245" s="2">
        <v>0</v>
      </c>
      <c r="F245" s="4" t="s">
        <v>18</v>
      </c>
      <c r="G245" s="2">
        <v>0.9</v>
      </c>
      <c r="H245" s="2">
        <v>639</v>
      </c>
      <c r="I245" s="2">
        <v>303</v>
      </c>
      <c r="J245" s="2">
        <v>1.4890000000000001</v>
      </c>
      <c r="K245" s="2">
        <v>1.5640000000000001</v>
      </c>
      <c r="L245" s="2">
        <v>1.512</v>
      </c>
      <c r="M245" s="2">
        <v>1.512</v>
      </c>
      <c r="N245" s="2">
        <v>2E-3</v>
      </c>
      <c r="O245" s="2">
        <v>1.526</v>
      </c>
      <c r="P245" s="2">
        <v>-1.4E-2</v>
      </c>
      <c r="Q245" s="2">
        <v>-0.9</v>
      </c>
    </row>
    <row r="246" spans="1:17" x14ac:dyDescent="0.35">
      <c r="A246" s="2">
        <v>40</v>
      </c>
      <c r="B246" s="2">
        <v>5</v>
      </c>
      <c r="C246" s="2" t="s">
        <v>17</v>
      </c>
      <c r="D246" s="2">
        <v>2.0526</v>
      </c>
      <c r="E246" s="2">
        <v>0</v>
      </c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x14ac:dyDescent="0.35">
      <c r="A247" s="2">
        <v>40</v>
      </c>
      <c r="B247" s="2">
        <v>6</v>
      </c>
      <c r="C247" s="2" t="s">
        <v>17</v>
      </c>
      <c r="D247" s="2">
        <v>2.3157999999999999</v>
      </c>
      <c r="E247" s="2">
        <v>0</v>
      </c>
      <c r="F247" s="4" t="s">
        <v>18</v>
      </c>
      <c r="G247" s="2">
        <v>0.88</v>
      </c>
      <c r="H247" s="2">
        <v>639</v>
      </c>
      <c r="I247" s="2">
        <v>257</v>
      </c>
      <c r="J247" s="2">
        <v>1.984</v>
      </c>
      <c r="K247" s="2">
        <v>2.0590000000000002</v>
      </c>
      <c r="L247" s="2">
        <v>2.04</v>
      </c>
      <c r="M247" s="2">
        <v>2.04</v>
      </c>
      <c r="N247" s="2">
        <v>3.0000000000000001E-3</v>
      </c>
      <c r="O247" s="2">
        <v>2.0529999999999999</v>
      </c>
      <c r="P247" s="2">
        <v>-1.2E-2</v>
      </c>
      <c r="Q247" s="2">
        <v>-0.6</v>
      </c>
    </row>
    <row r="248" spans="1:17" x14ac:dyDescent="0.35">
      <c r="A248" s="2">
        <v>40</v>
      </c>
      <c r="B248" s="2">
        <v>7</v>
      </c>
      <c r="C248" s="2" t="s">
        <v>17</v>
      </c>
      <c r="D248" s="2">
        <v>2.5789</v>
      </c>
      <c r="E248" s="2">
        <v>0</v>
      </c>
      <c r="F248" s="4" t="s">
        <v>18</v>
      </c>
      <c r="G248" s="2">
        <v>0.68</v>
      </c>
      <c r="H248" s="2">
        <v>639</v>
      </c>
      <c r="I248" s="2">
        <v>241</v>
      </c>
      <c r="J248" s="2">
        <v>2.2320000000000002</v>
      </c>
      <c r="K248" s="2">
        <v>2.3069999999999999</v>
      </c>
      <c r="L248" s="2">
        <v>2.3039999999999998</v>
      </c>
      <c r="M248" s="2">
        <v>2.3039999999999998</v>
      </c>
      <c r="N248" s="2">
        <v>3.0000000000000001E-3</v>
      </c>
      <c r="O248" s="2">
        <v>2.3159999999999998</v>
      </c>
      <c r="P248" s="2">
        <v>-1.2E-2</v>
      </c>
      <c r="Q248" s="2">
        <v>-0.5</v>
      </c>
    </row>
    <row r="249" spans="1:17" x14ac:dyDescent="0.35">
      <c r="A249" s="2">
        <v>40</v>
      </c>
      <c r="B249" s="2">
        <v>8</v>
      </c>
      <c r="C249" s="2" t="s">
        <v>17</v>
      </c>
      <c r="D249" s="2">
        <v>2.8420999999999998</v>
      </c>
      <c r="E249" s="2">
        <v>0</v>
      </c>
      <c r="F249" s="4" t="s">
        <v>18</v>
      </c>
      <c r="G249" s="2">
        <v>0.85</v>
      </c>
      <c r="H249" s="2">
        <v>639</v>
      </c>
      <c r="I249" s="2">
        <v>227</v>
      </c>
      <c r="J249" s="2">
        <v>2.4769999999999999</v>
      </c>
      <c r="K249" s="2">
        <v>2.552</v>
      </c>
      <c r="L249" s="2">
        <v>2.5680000000000001</v>
      </c>
      <c r="M249" s="2">
        <v>2.5680000000000001</v>
      </c>
      <c r="N249" s="2">
        <v>4.0000000000000001E-3</v>
      </c>
      <c r="O249" s="2">
        <v>2.5790000000000002</v>
      </c>
      <c r="P249" s="2">
        <v>-1.0999999999999999E-2</v>
      </c>
      <c r="Q249" s="2">
        <v>-0.4</v>
      </c>
    </row>
    <row r="250" spans="1:17" x14ac:dyDescent="0.35">
      <c r="A250" s="2">
        <v>40</v>
      </c>
      <c r="B250" s="2">
        <v>9</v>
      </c>
      <c r="C250" s="2" t="s">
        <v>17</v>
      </c>
      <c r="D250" s="2">
        <v>3.1053000000000002</v>
      </c>
      <c r="E250" s="2">
        <v>0</v>
      </c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x14ac:dyDescent="0.35">
      <c r="A251" s="2">
        <v>40</v>
      </c>
      <c r="B251" s="2">
        <v>10</v>
      </c>
      <c r="C251" s="2" t="s">
        <v>17</v>
      </c>
      <c r="D251" s="2">
        <v>3.3683999999999998</v>
      </c>
      <c r="E251" s="2">
        <v>0</v>
      </c>
      <c r="F251" s="4" t="s">
        <v>18</v>
      </c>
      <c r="G251" s="2">
        <v>0.28999999999999998</v>
      </c>
      <c r="H251" s="2">
        <v>639</v>
      </c>
      <c r="I251" s="2">
        <v>209</v>
      </c>
      <c r="J251" s="2">
        <v>2.9729999999999999</v>
      </c>
      <c r="K251" s="2">
        <v>3.048</v>
      </c>
      <c r="L251" s="2">
        <v>3.0950000000000002</v>
      </c>
      <c r="M251" s="2">
        <v>3.0950000000000002</v>
      </c>
      <c r="N251" s="2">
        <v>5.0000000000000001E-3</v>
      </c>
      <c r="O251" s="2">
        <v>3.105</v>
      </c>
      <c r="P251" s="2">
        <v>-0.01</v>
      </c>
      <c r="Q251" s="2">
        <v>-0.3</v>
      </c>
    </row>
    <row r="252" spans="1:17" x14ac:dyDescent="0.35">
      <c r="A252" s="2">
        <v>40</v>
      </c>
      <c r="B252" s="2">
        <v>11</v>
      </c>
      <c r="C252" s="2" t="s">
        <v>17</v>
      </c>
      <c r="D252" s="2">
        <v>3.6316000000000002</v>
      </c>
      <c r="E252" s="2">
        <v>0</v>
      </c>
      <c r="F252" s="4" t="s">
        <v>18</v>
      </c>
      <c r="G252" s="2">
        <v>0.45</v>
      </c>
      <c r="H252" s="2">
        <v>640</v>
      </c>
      <c r="I252" s="2">
        <v>200</v>
      </c>
      <c r="J252" s="2">
        <v>3.218</v>
      </c>
      <c r="K252" s="2">
        <v>3.2930000000000001</v>
      </c>
      <c r="L252" s="2">
        <v>3.359</v>
      </c>
      <c r="M252" s="2">
        <v>3.359</v>
      </c>
      <c r="N252" s="2">
        <v>0</v>
      </c>
      <c r="O252" s="2">
        <v>3.6320000000000001</v>
      </c>
      <c r="P252" s="2">
        <v>-0.27300000000000002</v>
      </c>
      <c r="Q252" s="2">
        <v>-7.5</v>
      </c>
    </row>
    <row r="253" spans="1:17" x14ac:dyDescent="0.35">
      <c r="A253" s="2">
        <v>40</v>
      </c>
      <c r="B253" s="2">
        <v>12</v>
      </c>
      <c r="C253" s="2" t="s">
        <v>17</v>
      </c>
      <c r="D253" s="2">
        <v>3.8946999999999998</v>
      </c>
      <c r="E253" s="2">
        <v>0</v>
      </c>
      <c r="F253" s="4" t="s">
        <v>18</v>
      </c>
      <c r="G253" s="2">
        <v>0.77</v>
      </c>
      <c r="H253" s="2">
        <v>640</v>
      </c>
      <c r="I253" s="2">
        <v>194</v>
      </c>
      <c r="J253" s="2">
        <v>3.4649999999999999</v>
      </c>
      <c r="K253" s="2">
        <v>3.54</v>
      </c>
      <c r="L253" s="2">
        <v>3.6219999999999999</v>
      </c>
      <c r="M253" s="2">
        <v>3.6219999999999999</v>
      </c>
      <c r="N253" s="2">
        <v>0</v>
      </c>
      <c r="O253" s="2">
        <v>3.6320000000000001</v>
      </c>
      <c r="P253" s="2">
        <v>-8.9999999999999993E-3</v>
      </c>
      <c r="Q253" s="2">
        <v>-0.3</v>
      </c>
    </row>
    <row r="254" spans="1:17" x14ac:dyDescent="0.35">
      <c r="A254" s="2">
        <v>40</v>
      </c>
      <c r="B254" s="2">
        <v>13</v>
      </c>
      <c r="C254" s="2" t="s">
        <v>17</v>
      </c>
      <c r="D254" s="2">
        <v>4.1578999999999997</v>
      </c>
      <c r="E254" s="2">
        <v>0</v>
      </c>
      <c r="F254" s="4" t="s">
        <v>18</v>
      </c>
      <c r="G254" s="2">
        <v>0.78</v>
      </c>
      <c r="H254" s="2">
        <v>640</v>
      </c>
      <c r="I254" s="2">
        <v>189</v>
      </c>
      <c r="J254" s="2">
        <v>3.7130000000000001</v>
      </c>
      <c r="K254" s="2">
        <v>3.7879999999999998</v>
      </c>
      <c r="L254" s="2">
        <v>3.8860000000000001</v>
      </c>
      <c r="M254" s="2">
        <v>3.8860000000000001</v>
      </c>
      <c r="N254" s="2">
        <v>0</v>
      </c>
      <c r="O254" s="2">
        <v>3.895</v>
      </c>
      <c r="P254" s="2">
        <v>-8.9999999999999993E-3</v>
      </c>
      <c r="Q254" s="2">
        <v>-0.2</v>
      </c>
    </row>
    <row r="255" spans="1:17" x14ac:dyDescent="0.35">
      <c r="A255" s="2">
        <v>40</v>
      </c>
      <c r="B255" s="2">
        <v>14</v>
      </c>
      <c r="C255" s="2" t="s">
        <v>17</v>
      </c>
      <c r="D255" s="2">
        <v>4.4211</v>
      </c>
      <c r="E255" s="2">
        <v>0</v>
      </c>
      <c r="F255" s="4" t="s">
        <v>18</v>
      </c>
      <c r="G255" s="2">
        <v>0.71</v>
      </c>
      <c r="H255" s="2">
        <v>640</v>
      </c>
      <c r="I255" s="2">
        <v>184</v>
      </c>
      <c r="J255" s="2">
        <v>3.96</v>
      </c>
      <c r="K255" s="2">
        <v>4.0350000000000001</v>
      </c>
      <c r="L255" s="2">
        <v>4.149</v>
      </c>
      <c r="M255" s="2">
        <v>4.149</v>
      </c>
      <c r="N255" s="2">
        <v>0</v>
      </c>
      <c r="O255" s="2">
        <v>4.4210000000000003</v>
      </c>
      <c r="P255" s="2">
        <v>-0.27200000000000002</v>
      </c>
      <c r="Q255" s="2">
        <v>-6.2</v>
      </c>
    </row>
    <row r="256" spans="1:17" x14ac:dyDescent="0.35">
      <c r="A256" s="2">
        <v>40</v>
      </c>
      <c r="B256" s="2">
        <v>15</v>
      </c>
      <c r="C256" s="2" t="s">
        <v>17</v>
      </c>
      <c r="D256" s="2">
        <v>4.6841999999999997</v>
      </c>
      <c r="E256" s="2">
        <v>0</v>
      </c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x14ac:dyDescent="0.35">
      <c r="A257" s="2">
        <v>40</v>
      </c>
      <c r="B257" s="2">
        <v>16</v>
      </c>
      <c r="C257" s="2" t="s">
        <v>17</v>
      </c>
      <c r="D257" s="2">
        <v>4.9474</v>
      </c>
      <c r="E257" s="2">
        <v>0</v>
      </c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x14ac:dyDescent="0.35">
      <c r="A258" s="2">
        <v>40</v>
      </c>
      <c r="B258" s="2">
        <v>17</v>
      </c>
      <c r="C258" s="2" t="s">
        <v>17</v>
      </c>
      <c r="D258" s="2">
        <v>5.2104999999999997</v>
      </c>
      <c r="E258" s="2">
        <v>0</v>
      </c>
      <c r="F258" s="4" t="s">
        <v>18</v>
      </c>
      <c r="G258" s="2">
        <v>0.6</v>
      </c>
      <c r="H258" s="2">
        <v>640</v>
      </c>
      <c r="I258" s="2">
        <v>173</v>
      </c>
      <c r="J258" s="2">
        <v>4.702</v>
      </c>
      <c r="K258" s="2">
        <v>4.7770000000000001</v>
      </c>
      <c r="L258" s="2">
        <v>4.9390000000000001</v>
      </c>
      <c r="M258" s="2">
        <v>4.9390000000000001</v>
      </c>
      <c r="N258" s="2">
        <v>0</v>
      </c>
      <c r="O258" s="2">
        <v>4.9470000000000001</v>
      </c>
      <c r="P258" s="2">
        <v>-8.0000000000000002E-3</v>
      </c>
      <c r="Q258" s="2">
        <v>-0.2</v>
      </c>
    </row>
    <row r="259" spans="1:17" x14ac:dyDescent="0.35">
      <c r="A259" s="2">
        <v>40</v>
      </c>
      <c r="B259" s="2">
        <v>18</v>
      </c>
      <c r="C259" s="2" t="s">
        <v>17</v>
      </c>
      <c r="D259" s="2">
        <v>5.4737</v>
      </c>
      <c r="E259" s="2">
        <v>0</v>
      </c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x14ac:dyDescent="0.35">
      <c r="A260" s="2">
        <v>40</v>
      </c>
      <c r="B260" s="2">
        <v>19</v>
      </c>
      <c r="C260" s="2" t="s">
        <v>17</v>
      </c>
      <c r="D260" s="2">
        <v>5.7367999999999997</v>
      </c>
      <c r="E260" s="2">
        <v>0</v>
      </c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x14ac:dyDescent="0.35">
      <c r="A261" s="2">
        <v>40</v>
      </c>
      <c r="B261" s="2">
        <v>20</v>
      </c>
      <c r="C261" s="2" t="s">
        <v>17</v>
      </c>
      <c r="D261" s="2">
        <v>6</v>
      </c>
      <c r="E261" s="2">
        <v>0</v>
      </c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x14ac:dyDescent="0.35">
      <c r="A262" s="2">
        <v>40</v>
      </c>
      <c r="B262" s="2">
        <v>21</v>
      </c>
      <c r="C262" s="2" t="s">
        <v>19</v>
      </c>
      <c r="D262" s="2">
        <v>3</v>
      </c>
      <c r="E262" s="2">
        <v>-2.75</v>
      </c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x14ac:dyDescent="0.35">
      <c r="A263" s="2">
        <v>40</v>
      </c>
      <c r="B263" s="2">
        <v>22</v>
      </c>
      <c r="C263" s="2" t="s">
        <v>19</v>
      </c>
      <c r="D263" s="2">
        <v>3</v>
      </c>
      <c r="E263" s="2">
        <v>-2.4605000000000001</v>
      </c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x14ac:dyDescent="0.35">
      <c r="A264" s="2">
        <v>40</v>
      </c>
      <c r="B264" s="2">
        <v>23</v>
      </c>
      <c r="C264" s="2" t="s">
        <v>19</v>
      </c>
      <c r="D264" s="2">
        <v>3</v>
      </c>
      <c r="E264" s="2">
        <v>-2.1711</v>
      </c>
      <c r="F264" s="4" t="s">
        <v>18</v>
      </c>
      <c r="G264" s="2">
        <v>0.61</v>
      </c>
      <c r="H264" s="2">
        <v>1200</v>
      </c>
      <c r="I264" s="2">
        <v>210</v>
      </c>
      <c r="J264" s="2">
        <v>2.895</v>
      </c>
      <c r="K264" s="2">
        <v>2.97</v>
      </c>
      <c r="L264" s="2">
        <v>3.8940000000000001</v>
      </c>
      <c r="M264" s="2">
        <v>3.0139999999999998</v>
      </c>
      <c r="N264" s="2">
        <v>-2.4660000000000002</v>
      </c>
      <c r="O264" s="2">
        <v>4.07</v>
      </c>
      <c r="P264" s="2">
        <v>-0.17599999999999999</v>
      </c>
      <c r="Q264" s="2">
        <v>-4.3</v>
      </c>
    </row>
    <row r="265" spans="1:17" x14ac:dyDescent="0.35">
      <c r="A265" s="2">
        <v>40</v>
      </c>
      <c r="B265" s="2">
        <v>24</v>
      </c>
      <c r="C265" s="2" t="s">
        <v>19</v>
      </c>
      <c r="D265" s="2">
        <v>3</v>
      </c>
      <c r="E265" s="2">
        <v>-1.8815999999999999</v>
      </c>
      <c r="F265" s="4" t="s">
        <v>18</v>
      </c>
      <c r="G265" s="2">
        <v>0.79</v>
      </c>
      <c r="H265" s="2">
        <v>1133</v>
      </c>
      <c r="I265" s="2">
        <v>211</v>
      </c>
      <c r="J265" s="2">
        <v>2.8940000000000001</v>
      </c>
      <c r="K265" s="2">
        <v>2.9689999999999999</v>
      </c>
      <c r="L265" s="2">
        <v>3.7130000000000001</v>
      </c>
      <c r="M265" s="2">
        <v>3.012</v>
      </c>
      <c r="N265" s="2">
        <v>-2.17</v>
      </c>
      <c r="O265" s="2">
        <v>3.7029999999999998</v>
      </c>
      <c r="P265" s="2">
        <v>8.9999999999999993E-3</v>
      </c>
      <c r="Q265" s="2">
        <v>0.3</v>
      </c>
    </row>
    <row r="266" spans="1:17" x14ac:dyDescent="0.35">
      <c r="A266" s="2">
        <v>40</v>
      </c>
      <c r="B266" s="2">
        <v>25</v>
      </c>
      <c r="C266" s="2" t="s">
        <v>19</v>
      </c>
      <c r="D266" s="2">
        <v>3</v>
      </c>
      <c r="E266" s="2">
        <v>-1.5921000000000001</v>
      </c>
      <c r="F266" s="4" t="s">
        <v>18</v>
      </c>
      <c r="G266" s="2">
        <v>0.82</v>
      </c>
      <c r="H266" s="2">
        <v>1067</v>
      </c>
      <c r="I266" s="2">
        <v>212</v>
      </c>
      <c r="J266" s="2">
        <v>4.5289999999999999</v>
      </c>
      <c r="K266" s="2">
        <v>4.6040000000000001</v>
      </c>
      <c r="L266" s="2">
        <v>5.5030000000000001</v>
      </c>
      <c r="M266" s="2">
        <v>4.6680000000000001</v>
      </c>
      <c r="N266" s="2">
        <v>-2.915</v>
      </c>
      <c r="O266" s="2">
        <v>3.3959999999999999</v>
      </c>
      <c r="P266" s="2">
        <v>2.1070000000000002</v>
      </c>
      <c r="Q266" s="2">
        <v>62</v>
      </c>
    </row>
    <row r="267" spans="1:17" x14ac:dyDescent="0.35">
      <c r="A267" s="2">
        <v>40</v>
      </c>
      <c r="B267" s="2">
        <v>26</v>
      </c>
      <c r="C267" s="2" t="s">
        <v>19</v>
      </c>
      <c r="D267" s="2">
        <v>3</v>
      </c>
      <c r="E267" s="2">
        <v>-1.3026</v>
      </c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x14ac:dyDescent="0.35">
      <c r="A268" s="2">
        <v>40</v>
      </c>
      <c r="B268" s="2">
        <v>27</v>
      </c>
      <c r="C268" s="2" t="s">
        <v>19</v>
      </c>
      <c r="D268" s="2">
        <v>3</v>
      </c>
      <c r="E268" s="2">
        <v>-1.0132000000000001</v>
      </c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x14ac:dyDescent="0.35">
      <c r="A269" s="2">
        <v>40</v>
      </c>
      <c r="B269" s="2">
        <v>28</v>
      </c>
      <c r="C269" s="2" t="s">
        <v>19</v>
      </c>
      <c r="D269" s="2">
        <v>3</v>
      </c>
      <c r="E269" s="2">
        <v>-0.72370000000000001</v>
      </c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x14ac:dyDescent="0.35">
      <c r="A270" s="2">
        <v>40</v>
      </c>
      <c r="B270" s="2">
        <v>29</v>
      </c>
      <c r="C270" s="2" t="s">
        <v>19</v>
      </c>
      <c r="D270" s="2">
        <v>3</v>
      </c>
      <c r="E270" s="2">
        <v>-0.43419999999999997</v>
      </c>
      <c r="F270" s="4" t="s">
        <v>18</v>
      </c>
      <c r="G270" s="2">
        <v>0.86</v>
      </c>
      <c r="H270" s="2">
        <v>804</v>
      </c>
      <c r="I270" s="2">
        <v>212</v>
      </c>
      <c r="J270" s="2">
        <v>4.5289999999999999</v>
      </c>
      <c r="K270" s="2">
        <v>4.6040000000000001</v>
      </c>
      <c r="L270" s="2">
        <v>4.8</v>
      </c>
      <c r="M270" s="2">
        <v>4.6680000000000001</v>
      </c>
      <c r="N270" s="2">
        <v>-1.1200000000000001</v>
      </c>
      <c r="O270" s="2">
        <v>3.0859999999999999</v>
      </c>
      <c r="P270" s="2">
        <v>1.714</v>
      </c>
      <c r="Q270" s="2">
        <v>55.5</v>
      </c>
    </row>
    <row r="271" spans="1:17" x14ac:dyDescent="0.35">
      <c r="A271" s="2">
        <v>40</v>
      </c>
      <c r="B271" s="2">
        <v>30</v>
      </c>
      <c r="C271" s="2" t="s">
        <v>19</v>
      </c>
      <c r="D271" s="2">
        <v>3</v>
      </c>
      <c r="E271" s="2">
        <v>-0.1447</v>
      </c>
      <c r="F271" s="4" t="s">
        <v>18</v>
      </c>
      <c r="G271" s="2">
        <v>0.84</v>
      </c>
      <c r="H271" s="2">
        <v>739</v>
      </c>
      <c r="I271" s="2">
        <v>212</v>
      </c>
      <c r="J271" s="2">
        <v>2.875</v>
      </c>
      <c r="K271" s="2">
        <v>2.95</v>
      </c>
      <c r="L271" s="2">
        <v>3.0219999999999998</v>
      </c>
      <c r="M271" s="2">
        <v>2.9910000000000001</v>
      </c>
      <c r="N271" s="2">
        <v>-0.433</v>
      </c>
      <c r="O271" s="2">
        <v>3.0310000000000001</v>
      </c>
      <c r="P271" s="2">
        <v>-8.9999999999999993E-3</v>
      </c>
      <c r="Q271" s="2">
        <v>-0.3</v>
      </c>
    </row>
    <row r="272" spans="1:17" x14ac:dyDescent="0.35">
      <c r="A272" s="2">
        <v>40</v>
      </c>
      <c r="B272" s="2">
        <v>31</v>
      </c>
      <c r="C272" s="2" t="s">
        <v>19</v>
      </c>
      <c r="D272" s="2">
        <v>3</v>
      </c>
      <c r="E272" s="2">
        <v>0.1447</v>
      </c>
      <c r="F272" s="4" t="s">
        <v>18</v>
      </c>
      <c r="G272" s="2">
        <v>0.79</v>
      </c>
      <c r="H272" s="2">
        <v>673</v>
      </c>
      <c r="I272" s="2">
        <v>212</v>
      </c>
      <c r="J272" s="2">
        <v>2.8740000000000001</v>
      </c>
      <c r="K272" s="2">
        <v>2.9489999999999998</v>
      </c>
      <c r="L272" s="2">
        <v>2.9929999999999999</v>
      </c>
      <c r="M272" s="2">
        <v>2.99</v>
      </c>
      <c r="N272" s="2">
        <v>-0.14399999999999999</v>
      </c>
      <c r="O272" s="2">
        <v>3.0030000000000001</v>
      </c>
      <c r="P272" s="2">
        <v>-0.01</v>
      </c>
      <c r="Q272" s="2">
        <v>-0.3</v>
      </c>
    </row>
    <row r="273" spans="1:17" x14ac:dyDescent="0.35">
      <c r="A273" s="2">
        <v>40</v>
      </c>
      <c r="B273" s="2">
        <v>32</v>
      </c>
      <c r="C273" s="2" t="s">
        <v>19</v>
      </c>
      <c r="D273" s="2">
        <v>3</v>
      </c>
      <c r="E273" s="2">
        <v>0.43419999999999997</v>
      </c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x14ac:dyDescent="0.35">
      <c r="A274" s="2">
        <v>40</v>
      </c>
      <c r="B274" s="2">
        <v>33</v>
      </c>
      <c r="C274" s="2" t="s">
        <v>19</v>
      </c>
      <c r="D274" s="2">
        <v>3</v>
      </c>
      <c r="E274" s="2">
        <v>0.72370000000000001</v>
      </c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x14ac:dyDescent="0.35">
      <c r="A275" s="2">
        <v>40</v>
      </c>
      <c r="B275" s="2">
        <v>34</v>
      </c>
      <c r="C275" s="2" t="s">
        <v>19</v>
      </c>
      <c r="D275" s="2">
        <v>3</v>
      </c>
      <c r="E275" s="2">
        <v>1.0132000000000001</v>
      </c>
      <c r="F275" s="4" t="s">
        <v>18</v>
      </c>
      <c r="G275" s="2">
        <v>0.82</v>
      </c>
      <c r="H275" s="2">
        <v>476</v>
      </c>
      <c r="I275" s="2">
        <v>211</v>
      </c>
      <c r="J275" s="2">
        <v>2.8769999999999998</v>
      </c>
      <c r="K275" s="2">
        <v>2.952</v>
      </c>
      <c r="L275" s="2">
        <v>3.0790000000000002</v>
      </c>
      <c r="M275" s="2">
        <v>2.9950000000000001</v>
      </c>
      <c r="N275" s="2">
        <v>0.71799999999999997</v>
      </c>
      <c r="O275" s="2">
        <v>3.0859999999999999</v>
      </c>
      <c r="P275" s="2">
        <v>-7.0000000000000001E-3</v>
      </c>
      <c r="Q275" s="2">
        <v>-0.2</v>
      </c>
    </row>
    <row r="276" spans="1:17" x14ac:dyDescent="0.35">
      <c r="A276" s="2">
        <v>40</v>
      </c>
      <c r="B276" s="2">
        <v>35</v>
      </c>
      <c r="C276" s="2" t="s">
        <v>19</v>
      </c>
      <c r="D276" s="2">
        <v>3</v>
      </c>
      <c r="E276" s="2">
        <v>1.3026</v>
      </c>
      <c r="F276" s="4" t="s">
        <v>18</v>
      </c>
      <c r="G276" s="2">
        <v>0.78</v>
      </c>
      <c r="H276" s="2">
        <v>410</v>
      </c>
      <c r="I276" s="2">
        <v>211</v>
      </c>
      <c r="J276" s="2">
        <v>2.88</v>
      </c>
      <c r="K276" s="2">
        <v>2.9550000000000001</v>
      </c>
      <c r="L276" s="2">
        <v>3.1629999999999998</v>
      </c>
      <c r="M276" s="2">
        <v>2.9980000000000002</v>
      </c>
      <c r="N276" s="2">
        <v>1.008</v>
      </c>
      <c r="O276" s="2">
        <v>3.1659999999999999</v>
      </c>
      <c r="P276" s="2">
        <v>-4.0000000000000001E-3</v>
      </c>
      <c r="Q276" s="2">
        <v>-0.1</v>
      </c>
    </row>
    <row r="277" spans="1:17" x14ac:dyDescent="0.35">
      <c r="A277" s="2">
        <v>40</v>
      </c>
      <c r="B277" s="2">
        <v>36</v>
      </c>
      <c r="C277" s="2" t="s">
        <v>19</v>
      </c>
      <c r="D277" s="2">
        <v>3</v>
      </c>
      <c r="E277" s="2">
        <v>1.5921000000000001</v>
      </c>
      <c r="F277" s="4" t="s">
        <v>18</v>
      </c>
      <c r="G277" s="2">
        <v>0.81</v>
      </c>
      <c r="H277" s="2">
        <v>344</v>
      </c>
      <c r="I277" s="2">
        <v>212</v>
      </c>
      <c r="J277" s="2">
        <v>2.8839999999999999</v>
      </c>
      <c r="K277" s="2">
        <v>2.9590000000000001</v>
      </c>
      <c r="L277" s="2">
        <v>3.27</v>
      </c>
      <c r="M277" s="2">
        <v>3.0009999999999999</v>
      </c>
      <c r="N277" s="2">
        <v>1.2989999999999999</v>
      </c>
      <c r="O277" s="2">
        <v>3.3959999999999999</v>
      </c>
      <c r="P277" s="2">
        <v>-0.127</v>
      </c>
      <c r="Q277" s="2">
        <v>-3.7</v>
      </c>
    </row>
    <row r="278" spans="1:17" x14ac:dyDescent="0.35">
      <c r="A278" s="2">
        <v>40</v>
      </c>
      <c r="B278" s="2">
        <v>37</v>
      </c>
      <c r="C278" s="2" t="s">
        <v>19</v>
      </c>
      <c r="D278" s="2">
        <v>3</v>
      </c>
      <c r="E278" s="2">
        <v>1.8815999999999999</v>
      </c>
      <c r="F278" s="4" t="s">
        <v>18</v>
      </c>
      <c r="G278" s="2">
        <v>0.8</v>
      </c>
      <c r="H278" s="2">
        <v>277</v>
      </c>
      <c r="I278" s="2">
        <v>211</v>
      </c>
      <c r="J278" s="2">
        <v>2.8849999999999998</v>
      </c>
      <c r="K278" s="2">
        <v>2.96</v>
      </c>
      <c r="L278" s="2">
        <v>3.399</v>
      </c>
      <c r="M278" s="2">
        <v>3.0019999999999998</v>
      </c>
      <c r="N278" s="2">
        <v>1.593</v>
      </c>
      <c r="O278" s="2">
        <v>3.3959999999999999</v>
      </c>
      <c r="P278" s="2">
        <v>2E-3</v>
      </c>
      <c r="Q278" s="2">
        <v>0.1</v>
      </c>
    </row>
    <row r="279" spans="1:17" x14ac:dyDescent="0.35">
      <c r="A279" s="2">
        <v>40</v>
      </c>
      <c r="B279" s="2">
        <v>38</v>
      </c>
      <c r="C279" s="2" t="s">
        <v>19</v>
      </c>
      <c r="D279" s="2">
        <v>3</v>
      </c>
      <c r="E279" s="2">
        <v>2.1711</v>
      </c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x14ac:dyDescent="0.35">
      <c r="A280" s="2">
        <v>40</v>
      </c>
      <c r="B280" s="2">
        <v>39</v>
      </c>
      <c r="C280" s="2" t="s">
        <v>19</v>
      </c>
      <c r="D280" s="2">
        <v>3</v>
      </c>
      <c r="E280" s="2">
        <v>2.4605000000000001</v>
      </c>
      <c r="F280" s="4" t="s">
        <v>18</v>
      </c>
      <c r="G280" s="2">
        <v>0.68</v>
      </c>
      <c r="H280" s="2">
        <v>78</v>
      </c>
      <c r="I280" s="2">
        <v>211</v>
      </c>
      <c r="J280" s="2">
        <v>2.8929999999999998</v>
      </c>
      <c r="K280" s="2">
        <v>2.968</v>
      </c>
      <c r="L280" s="2">
        <v>3.8959999999999999</v>
      </c>
      <c r="M280" s="2">
        <v>3.0110000000000001</v>
      </c>
      <c r="N280" s="2">
        <v>2.4729999999999999</v>
      </c>
      <c r="O280" s="2">
        <v>3.88</v>
      </c>
      <c r="P280" s="2">
        <v>1.6E-2</v>
      </c>
      <c r="Q280" s="2">
        <v>0.4</v>
      </c>
    </row>
    <row r="281" spans="1:17" x14ac:dyDescent="0.35">
      <c r="A281" s="2">
        <v>40</v>
      </c>
      <c r="B281" s="2">
        <v>40</v>
      </c>
      <c r="C281" s="2" t="s">
        <v>19</v>
      </c>
      <c r="D281" s="2">
        <v>3</v>
      </c>
      <c r="E281" s="2">
        <v>2.75</v>
      </c>
      <c r="F281" s="4" t="s">
        <v>18</v>
      </c>
      <c r="G281" s="2">
        <v>0.68</v>
      </c>
      <c r="H281" s="2">
        <v>78</v>
      </c>
      <c r="I281" s="2">
        <v>211</v>
      </c>
      <c r="J281" s="2">
        <v>2.8929999999999998</v>
      </c>
      <c r="K281" s="2">
        <v>2.968</v>
      </c>
      <c r="L281" s="2">
        <v>3.8959999999999999</v>
      </c>
      <c r="M281" s="2">
        <v>3.0110000000000001</v>
      </c>
      <c r="N281" s="2">
        <v>2.4729999999999999</v>
      </c>
      <c r="O281" s="2">
        <v>3.88</v>
      </c>
      <c r="P281" s="2">
        <v>1.6E-2</v>
      </c>
      <c r="Q281" s="2">
        <v>0.4</v>
      </c>
    </row>
    <row r="282" spans="1:17" x14ac:dyDescent="0.35">
      <c r="A282" s="2">
        <v>30</v>
      </c>
      <c r="B282" s="2">
        <v>1</v>
      </c>
      <c r="C282" s="2" t="s">
        <v>17</v>
      </c>
      <c r="D282" s="2">
        <v>1</v>
      </c>
      <c r="E282" s="2">
        <v>0</v>
      </c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x14ac:dyDescent="0.35">
      <c r="A283" s="2">
        <v>30</v>
      </c>
      <c r="B283" s="2">
        <v>2</v>
      </c>
      <c r="C283" s="2" t="s">
        <v>17</v>
      </c>
      <c r="D283" s="2">
        <v>1.2632000000000001</v>
      </c>
      <c r="E283" s="2">
        <v>0</v>
      </c>
      <c r="F283" s="4" t="s">
        <v>18</v>
      </c>
      <c r="G283" s="2">
        <v>0.89</v>
      </c>
      <c r="H283" s="2">
        <v>640</v>
      </c>
      <c r="I283" s="2">
        <v>394</v>
      </c>
      <c r="J283" s="2">
        <v>0.99199999999999999</v>
      </c>
      <c r="K283" s="2">
        <v>1.0669999999999999</v>
      </c>
      <c r="L283" s="2">
        <v>0.98199999999999998</v>
      </c>
      <c r="M283" s="2">
        <v>0.98199999999999998</v>
      </c>
      <c r="N283" s="2">
        <v>0</v>
      </c>
      <c r="O283" s="2">
        <v>1</v>
      </c>
      <c r="P283" s="2">
        <v>-1.7999999999999999E-2</v>
      </c>
      <c r="Q283" s="2">
        <v>-1.8</v>
      </c>
    </row>
    <row r="284" spans="1:17" x14ac:dyDescent="0.35">
      <c r="A284" s="2">
        <v>30</v>
      </c>
      <c r="B284" s="2">
        <v>3</v>
      </c>
      <c r="C284" s="2" t="s">
        <v>17</v>
      </c>
      <c r="D284" s="2">
        <v>1.5263</v>
      </c>
      <c r="E284" s="2">
        <v>0</v>
      </c>
      <c r="F284" s="4" t="s">
        <v>18</v>
      </c>
      <c r="G284" s="2">
        <v>0.9</v>
      </c>
      <c r="H284" s="2">
        <v>640</v>
      </c>
      <c r="I284" s="2">
        <v>340</v>
      </c>
      <c r="J284" s="2">
        <v>1.2410000000000001</v>
      </c>
      <c r="K284" s="2">
        <v>1.3160000000000001</v>
      </c>
      <c r="L284" s="2">
        <v>1.248</v>
      </c>
      <c r="M284" s="2">
        <v>1.248</v>
      </c>
      <c r="N284" s="2">
        <v>0</v>
      </c>
      <c r="O284" s="2">
        <v>1</v>
      </c>
      <c r="P284" s="2">
        <v>0.248</v>
      </c>
      <c r="Q284" s="2">
        <v>24.8</v>
      </c>
    </row>
    <row r="285" spans="1:17" x14ac:dyDescent="0.35">
      <c r="A285" s="2">
        <v>30</v>
      </c>
      <c r="B285" s="2">
        <v>4</v>
      </c>
      <c r="C285" s="2" t="s">
        <v>17</v>
      </c>
      <c r="D285" s="2">
        <v>1.7895000000000001</v>
      </c>
      <c r="E285" s="2">
        <v>0</v>
      </c>
      <c r="F285" s="4" t="s">
        <v>18</v>
      </c>
      <c r="G285" s="2">
        <v>0.9</v>
      </c>
      <c r="H285" s="2">
        <v>639</v>
      </c>
      <c r="I285" s="2">
        <v>303</v>
      </c>
      <c r="J285" s="2">
        <v>1.4890000000000001</v>
      </c>
      <c r="K285" s="2">
        <v>1.5640000000000001</v>
      </c>
      <c r="L285" s="2">
        <v>1.512</v>
      </c>
      <c r="M285" s="2">
        <v>1.512</v>
      </c>
      <c r="N285" s="2">
        <v>2E-3</v>
      </c>
      <c r="O285" s="2">
        <v>1.526</v>
      </c>
      <c r="P285" s="2">
        <v>-1.4E-2</v>
      </c>
      <c r="Q285" s="2">
        <v>-0.9</v>
      </c>
    </row>
    <row r="286" spans="1:17" x14ac:dyDescent="0.35">
      <c r="A286" s="2">
        <v>30</v>
      </c>
      <c r="B286" s="2">
        <v>5</v>
      </c>
      <c r="C286" s="2" t="s">
        <v>17</v>
      </c>
      <c r="D286" s="2">
        <v>2.0526</v>
      </c>
      <c r="E286" s="2">
        <v>0</v>
      </c>
      <c r="F286" s="4" t="s">
        <v>18</v>
      </c>
      <c r="G286" s="2">
        <v>0.9</v>
      </c>
      <c r="H286" s="2">
        <v>639</v>
      </c>
      <c r="I286" s="2">
        <v>277</v>
      </c>
      <c r="J286" s="2">
        <v>1.7370000000000001</v>
      </c>
      <c r="K286" s="2">
        <v>1.8120000000000001</v>
      </c>
      <c r="L286" s="2">
        <v>1.776</v>
      </c>
      <c r="M286" s="2">
        <v>1.776</v>
      </c>
      <c r="N286" s="2">
        <v>3.0000000000000001E-3</v>
      </c>
      <c r="O286" s="2">
        <v>1.79</v>
      </c>
      <c r="P286" s="2">
        <v>-1.2999999999999999E-2</v>
      </c>
      <c r="Q286" s="2">
        <v>-0.7</v>
      </c>
    </row>
    <row r="287" spans="1:17" x14ac:dyDescent="0.35">
      <c r="A287" s="2">
        <v>30</v>
      </c>
      <c r="B287" s="2">
        <v>6</v>
      </c>
      <c r="C287" s="2" t="s">
        <v>17</v>
      </c>
      <c r="D287" s="2">
        <v>2.3157999999999999</v>
      </c>
      <c r="E287" s="2">
        <v>0</v>
      </c>
      <c r="F287" s="4" t="s">
        <v>18</v>
      </c>
      <c r="G287" s="2">
        <v>0.82</v>
      </c>
      <c r="H287" s="2">
        <v>639</v>
      </c>
      <c r="I287" s="2">
        <v>241</v>
      </c>
      <c r="J287" s="2">
        <v>2.2320000000000002</v>
      </c>
      <c r="K287" s="2">
        <v>2.3069999999999999</v>
      </c>
      <c r="L287" s="2">
        <v>2.3039999999999998</v>
      </c>
      <c r="M287" s="2">
        <v>2.3039999999999998</v>
      </c>
      <c r="N287" s="2">
        <v>3.0000000000000001E-3</v>
      </c>
      <c r="O287" s="2">
        <v>2.3159999999999998</v>
      </c>
      <c r="P287" s="2">
        <v>-1.2E-2</v>
      </c>
      <c r="Q287" s="2">
        <v>-0.5</v>
      </c>
    </row>
    <row r="288" spans="1:17" x14ac:dyDescent="0.35">
      <c r="A288" s="2">
        <v>30</v>
      </c>
      <c r="B288" s="2">
        <v>7</v>
      </c>
      <c r="C288" s="2" t="s">
        <v>17</v>
      </c>
      <c r="D288" s="2">
        <v>2.5789</v>
      </c>
      <c r="E288" s="2">
        <v>0</v>
      </c>
      <c r="F288" s="4" t="s">
        <v>18</v>
      </c>
      <c r="G288" s="2">
        <v>0.82</v>
      </c>
      <c r="H288" s="2">
        <v>639</v>
      </c>
      <c r="I288" s="2">
        <v>241</v>
      </c>
      <c r="J288" s="2">
        <v>2.2320000000000002</v>
      </c>
      <c r="K288" s="2">
        <v>2.3069999999999999</v>
      </c>
      <c r="L288" s="2">
        <v>2.3039999999999998</v>
      </c>
      <c r="M288" s="2">
        <v>2.3039999999999998</v>
      </c>
      <c r="N288" s="2">
        <v>3.0000000000000001E-3</v>
      </c>
      <c r="O288" s="2">
        <v>2.5790000000000002</v>
      </c>
      <c r="P288" s="2">
        <v>-0.27500000000000002</v>
      </c>
      <c r="Q288" s="2">
        <v>-10.6</v>
      </c>
    </row>
    <row r="289" spans="1:17" x14ac:dyDescent="0.35">
      <c r="A289" s="2">
        <v>30</v>
      </c>
      <c r="B289" s="2">
        <v>8</v>
      </c>
      <c r="C289" s="2" t="s">
        <v>17</v>
      </c>
      <c r="D289" s="2">
        <v>2.8420999999999998</v>
      </c>
      <c r="E289" s="2">
        <v>0</v>
      </c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x14ac:dyDescent="0.35">
      <c r="A290" s="2">
        <v>30</v>
      </c>
      <c r="B290" s="2">
        <v>9</v>
      </c>
      <c r="C290" s="2" t="s">
        <v>17</v>
      </c>
      <c r="D290" s="2">
        <v>3.1053000000000002</v>
      </c>
      <c r="E290" s="2">
        <v>0</v>
      </c>
      <c r="F290" s="4" t="s">
        <v>18</v>
      </c>
      <c r="G290" s="2">
        <v>0.62</v>
      </c>
      <c r="H290" s="2">
        <v>640</v>
      </c>
      <c r="I290" s="2">
        <v>218</v>
      </c>
      <c r="J290" s="2">
        <v>2.726</v>
      </c>
      <c r="K290" s="2">
        <v>2.8010000000000002</v>
      </c>
      <c r="L290" s="2">
        <v>2.8319999999999999</v>
      </c>
      <c r="M290" s="2">
        <v>2.8319999999999999</v>
      </c>
      <c r="N290" s="2">
        <v>0</v>
      </c>
      <c r="O290" s="2">
        <v>2.8420000000000001</v>
      </c>
      <c r="P290" s="2">
        <v>-0.01</v>
      </c>
      <c r="Q290" s="2">
        <v>-0.4</v>
      </c>
    </row>
    <row r="291" spans="1:17" x14ac:dyDescent="0.35">
      <c r="A291" s="2">
        <v>30</v>
      </c>
      <c r="B291" s="2">
        <v>10</v>
      </c>
      <c r="C291" s="2" t="s">
        <v>17</v>
      </c>
      <c r="D291" s="2">
        <v>3.3683999999999998</v>
      </c>
      <c r="E291" s="2">
        <v>0</v>
      </c>
      <c r="F291" s="4" t="s">
        <v>18</v>
      </c>
      <c r="G291" s="2">
        <v>0.31</v>
      </c>
      <c r="H291" s="2">
        <v>639</v>
      </c>
      <c r="I291" s="2">
        <v>209</v>
      </c>
      <c r="J291" s="2">
        <v>2.9729999999999999</v>
      </c>
      <c r="K291" s="2">
        <v>3.048</v>
      </c>
      <c r="L291" s="2">
        <v>3.0950000000000002</v>
      </c>
      <c r="M291" s="2">
        <v>3.0950000000000002</v>
      </c>
      <c r="N291" s="2">
        <v>5.0000000000000001E-3</v>
      </c>
      <c r="O291" s="2">
        <v>3.3679999999999999</v>
      </c>
      <c r="P291" s="2">
        <v>-0.27300000000000002</v>
      </c>
      <c r="Q291" s="2">
        <v>-8.1</v>
      </c>
    </row>
    <row r="292" spans="1:17" x14ac:dyDescent="0.35">
      <c r="A292" s="2">
        <v>30</v>
      </c>
      <c r="B292" s="2">
        <v>11</v>
      </c>
      <c r="C292" s="2" t="s">
        <v>17</v>
      </c>
      <c r="D292" s="2">
        <v>3.6316000000000002</v>
      </c>
      <c r="E292" s="2">
        <v>0</v>
      </c>
      <c r="F292" s="4" t="s">
        <v>18</v>
      </c>
      <c r="G292" s="2">
        <v>0.33</v>
      </c>
      <c r="H292" s="2">
        <v>640</v>
      </c>
      <c r="I292" s="2">
        <v>201</v>
      </c>
      <c r="J292" s="2">
        <v>3.2189999999999999</v>
      </c>
      <c r="K292" s="2">
        <v>3.294</v>
      </c>
      <c r="L292" s="2">
        <v>3.359</v>
      </c>
      <c r="M292" s="2">
        <v>3.359</v>
      </c>
      <c r="N292" s="2">
        <v>0</v>
      </c>
      <c r="O292" s="2">
        <v>3.3679999999999999</v>
      </c>
      <c r="P292" s="2">
        <v>-0.01</v>
      </c>
      <c r="Q292" s="2">
        <v>-0.3</v>
      </c>
    </row>
    <row r="293" spans="1:17" x14ac:dyDescent="0.35">
      <c r="A293" s="2">
        <v>30</v>
      </c>
      <c r="B293" s="2">
        <v>12</v>
      </c>
      <c r="C293" s="2" t="s">
        <v>17</v>
      </c>
      <c r="D293" s="2">
        <v>3.8946999999999998</v>
      </c>
      <c r="E293" s="2">
        <v>0</v>
      </c>
      <c r="F293" s="4" t="s">
        <v>18</v>
      </c>
      <c r="G293" s="2">
        <v>0.78</v>
      </c>
      <c r="H293" s="2">
        <v>640</v>
      </c>
      <c r="I293" s="2">
        <v>194</v>
      </c>
      <c r="J293" s="2">
        <v>3.4649999999999999</v>
      </c>
      <c r="K293" s="2">
        <v>3.54</v>
      </c>
      <c r="L293" s="2">
        <v>3.6219999999999999</v>
      </c>
      <c r="M293" s="2">
        <v>3.6219999999999999</v>
      </c>
      <c r="N293" s="2">
        <v>0</v>
      </c>
      <c r="O293" s="2">
        <v>3.6320000000000001</v>
      </c>
      <c r="P293" s="2">
        <v>-8.9999999999999993E-3</v>
      </c>
      <c r="Q293" s="2">
        <v>-0.3</v>
      </c>
    </row>
    <row r="294" spans="1:17" x14ac:dyDescent="0.35">
      <c r="A294" s="2">
        <v>30</v>
      </c>
      <c r="B294" s="2">
        <v>13</v>
      </c>
      <c r="C294" s="2" t="s">
        <v>17</v>
      </c>
      <c r="D294" s="2">
        <v>4.1578999999999997</v>
      </c>
      <c r="E294" s="2">
        <v>0</v>
      </c>
      <c r="F294" s="4" t="s">
        <v>18</v>
      </c>
      <c r="G294" s="2">
        <v>0.77</v>
      </c>
      <c r="H294" s="2">
        <v>640</v>
      </c>
      <c r="I294" s="2">
        <v>189</v>
      </c>
      <c r="J294" s="2">
        <v>3.7130000000000001</v>
      </c>
      <c r="K294" s="2">
        <v>3.7879999999999998</v>
      </c>
      <c r="L294" s="2">
        <v>3.8860000000000001</v>
      </c>
      <c r="M294" s="2">
        <v>3.8860000000000001</v>
      </c>
      <c r="N294" s="2">
        <v>0</v>
      </c>
      <c r="O294" s="2">
        <v>4.1580000000000004</v>
      </c>
      <c r="P294" s="2">
        <v>-0.27200000000000002</v>
      </c>
      <c r="Q294" s="2">
        <v>-6.5</v>
      </c>
    </row>
    <row r="295" spans="1:17" x14ac:dyDescent="0.35">
      <c r="A295" s="2">
        <v>30</v>
      </c>
      <c r="B295" s="2">
        <v>14</v>
      </c>
      <c r="C295" s="2" t="s">
        <v>17</v>
      </c>
      <c r="D295" s="2">
        <v>4.4211</v>
      </c>
      <c r="E295" s="2">
        <v>0</v>
      </c>
      <c r="F295" s="4" t="s">
        <v>18</v>
      </c>
      <c r="G295" s="2">
        <v>0.64</v>
      </c>
      <c r="H295" s="2">
        <v>640</v>
      </c>
      <c r="I295" s="2">
        <v>184</v>
      </c>
      <c r="J295" s="2">
        <v>3.96</v>
      </c>
      <c r="K295" s="2">
        <v>4.0350000000000001</v>
      </c>
      <c r="L295" s="2">
        <v>4.149</v>
      </c>
      <c r="M295" s="2">
        <v>4.149</v>
      </c>
      <c r="N295" s="2">
        <v>0</v>
      </c>
      <c r="O295" s="2">
        <v>4.1580000000000004</v>
      </c>
      <c r="P295" s="2">
        <v>-8.9999999999999993E-3</v>
      </c>
      <c r="Q295" s="2">
        <v>-0.2</v>
      </c>
    </row>
    <row r="296" spans="1:17" x14ac:dyDescent="0.35">
      <c r="A296" s="2">
        <v>30</v>
      </c>
      <c r="B296" s="2">
        <v>15</v>
      </c>
      <c r="C296" s="2" t="s">
        <v>17</v>
      </c>
      <c r="D296" s="2">
        <v>4.6841999999999997</v>
      </c>
      <c r="E296" s="2">
        <v>0</v>
      </c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x14ac:dyDescent="0.35">
      <c r="A297" s="2">
        <v>30</v>
      </c>
      <c r="B297" s="2">
        <v>16</v>
      </c>
      <c r="C297" s="2" t="s">
        <v>17</v>
      </c>
      <c r="D297" s="2">
        <v>4.9474</v>
      </c>
      <c r="E297" s="2">
        <v>0</v>
      </c>
      <c r="F297" s="4" t="s">
        <v>18</v>
      </c>
      <c r="G297" s="2">
        <v>0.31</v>
      </c>
      <c r="H297" s="2">
        <v>640</v>
      </c>
      <c r="I297" s="2">
        <v>177</v>
      </c>
      <c r="J297" s="2">
        <v>4.4560000000000004</v>
      </c>
      <c r="K297" s="2">
        <v>4.5309999999999997</v>
      </c>
      <c r="L297" s="2">
        <v>4.6760000000000002</v>
      </c>
      <c r="M297" s="2">
        <v>4.6760000000000002</v>
      </c>
      <c r="N297" s="2">
        <v>0</v>
      </c>
      <c r="O297" s="2">
        <v>4.6840000000000002</v>
      </c>
      <c r="P297" s="2">
        <v>-8.0000000000000002E-3</v>
      </c>
      <c r="Q297" s="2">
        <v>-0.2</v>
      </c>
    </row>
    <row r="298" spans="1:17" x14ac:dyDescent="0.35">
      <c r="A298" s="2">
        <v>30</v>
      </c>
      <c r="B298" s="2">
        <v>17</v>
      </c>
      <c r="C298" s="2" t="s">
        <v>17</v>
      </c>
      <c r="D298" s="2">
        <v>5.2104999999999997</v>
      </c>
      <c r="E298" s="2">
        <v>0</v>
      </c>
      <c r="F298" s="4" t="s">
        <v>18</v>
      </c>
      <c r="G298" s="2">
        <v>0.56999999999999995</v>
      </c>
      <c r="H298" s="2">
        <v>640</v>
      </c>
      <c r="I298" s="2">
        <v>173</v>
      </c>
      <c r="J298" s="2">
        <v>4.702</v>
      </c>
      <c r="K298" s="2">
        <v>4.7770000000000001</v>
      </c>
      <c r="L298" s="2">
        <v>4.9390000000000001</v>
      </c>
      <c r="M298" s="2">
        <v>4.9390000000000001</v>
      </c>
      <c r="N298" s="2">
        <v>0</v>
      </c>
      <c r="O298" s="2">
        <v>4.9470000000000001</v>
      </c>
      <c r="P298" s="2">
        <v>-8.0000000000000002E-3</v>
      </c>
      <c r="Q298" s="2">
        <v>-0.2</v>
      </c>
    </row>
    <row r="299" spans="1:17" x14ac:dyDescent="0.35">
      <c r="A299" s="2">
        <v>30</v>
      </c>
      <c r="B299" s="2">
        <v>18</v>
      </c>
      <c r="C299" s="2" t="s">
        <v>17</v>
      </c>
      <c r="D299" s="2">
        <v>5.4737</v>
      </c>
      <c r="E299" s="2">
        <v>0</v>
      </c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x14ac:dyDescent="0.35">
      <c r="A300" s="2">
        <v>30</v>
      </c>
      <c r="B300" s="2">
        <v>19</v>
      </c>
      <c r="C300" s="2" t="s">
        <v>17</v>
      </c>
      <c r="D300" s="2">
        <v>5.7367999999999997</v>
      </c>
      <c r="E300" s="2">
        <v>0</v>
      </c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x14ac:dyDescent="0.35">
      <c r="A301" s="2">
        <v>30</v>
      </c>
      <c r="B301" s="2">
        <v>20</v>
      </c>
      <c r="C301" s="2" t="s">
        <v>17</v>
      </c>
      <c r="D301" s="2">
        <v>6</v>
      </c>
      <c r="E301" s="2">
        <v>0</v>
      </c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x14ac:dyDescent="0.35">
      <c r="A302" s="2">
        <v>30</v>
      </c>
      <c r="B302" s="2">
        <v>21</v>
      </c>
      <c r="C302" s="2" t="s">
        <v>19</v>
      </c>
      <c r="D302" s="2">
        <v>3</v>
      </c>
      <c r="E302" s="2">
        <v>-2.75</v>
      </c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x14ac:dyDescent="0.35">
      <c r="A303" s="2">
        <v>30</v>
      </c>
      <c r="B303" s="2">
        <v>22</v>
      </c>
      <c r="C303" s="2" t="s">
        <v>19</v>
      </c>
      <c r="D303" s="2">
        <v>3</v>
      </c>
      <c r="E303" s="2">
        <v>-2.4605000000000001</v>
      </c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x14ac:dyDescent="0.35">
      <c r="A304" s="2">
        <v>20</v>
      </c>
      <c r="B304" s="2">
        <v>1</v>
      </c>
      <c r="C304" s="2" t="s">
        <v>17</v>
      </c>
      <c r="D304" s="2">
        <v>1</v>
      </c>
      <c r="E304" s="2">
        <v>0</v>
      </c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x14ac:dyDescent="0.35">
      <c r="A305" s="2">
        <v>20</v>
      </c>
      <c r="B305" s="2">
        <v>2</v>
      </c>
      <c r="C305" s="2" t="s">
        <v>17</v>
      </c>
      <c r="D305" s="2">
        <v>1.2632000000000001</v>
      </c>
      <c r="E305" s="2">
        <v>0</v>
      </c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x14ac:dyDescent="0.35">
      <c r="A306" s="2">
        <v>20</v>
      </c>
      <c r="B306" s="2">
        <v>3</v>
      </c>
      <c r="C306" s="2" t="s">
        <v>17</v>
      </c>
      <c r="D306" s="2">
        <v>1.5263</v>
      </c>
      <c r="E306" s="2">
        <v>0</v>
      </c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x14ac:dyDescent="0.35">
      <c r="A307" s="2">
        <v>20</v>
      </c>
      <c r="B307" s="2">
        <v>4</v>
      </c>
      <c r="C307" s="2" t="s">
        <v>17</v>
      </c>
      <c r="D307" s="2">
        <v>1.7895000000000001</v>
      </c>
      <c r="E307" s="2">
        <v>0</v>
      </c>
      <c r="F307" s="4" t="s">
        <v>18</v>
      </c>
      <c r="G307" s="2">
        <v>0.89</v>
      </c>
      <c r="H307" s="2">
        <v>639</v>
      </c>
      <c r="I307" s="2">
        <v>277</v>
      </c>
      <c r="J307" s="2">
        <v>1.7370000000000001</v>
      </c>
      <c r="K307" s="2">
        <v>1.8120000000000001</v>
      </c>
      <c r="L307" s="2">
        <v>1.776</v>
      </c>
      <c r="M307" s="2">
        <v>1.776</v>
      </c>
      <c r="N307" s="2">
        <v>3.0000000000000001E-3</v>
      </c>
      <c r="O307" s="2">
        <v>1.79</v>
      </c>
      <c r="P307" s="2">
        <v>-1.2999999999999999E-2</v>
      </c>
      <c r="Q307" s="2">
        <v>-0.7</v>
      </c>
    </row>
    <row r="308" spans="1:17" x14ac:dyDescent="0.35">
      <c r="A308" s="2">
        <v>20</v>
      </c>
      <c r="B308" s="2">
        <v>5</v>
      </c>
      <c r="C308" s="2" t="s">
        <v>17</v>
      </c>
      <c r="D308" s="2">
        <v>2.0526</v>
      </c>
      <c r="E308" s="2">
        <v>0</v>
      </c>
      <c r="F308" s="4" t="s">
        <v>18</v>
      </c>
      <c r="G308" s="2">
        <v>0.89</v>
      </c>
      <c r="H308" s="2">
        <v>639</v>
      </c>
      <c r="I308" s="2">
        <v>277</v>
      </c>
      <c r="J308" s="2">
        <v>1.7370000000000001</v>
      </c>
      <c r="K308" s="2">
        <v>1.8120000000000001</v>
      </c>
      <c r="L308" s="2">
        <v>1.776</v>
      </c>
      <c r="M308" s="2">
        <v>1.776</v>
      </c>
      <c r="N308" s="2">
        <v>3.0000000000000001E-3</v>
      </c>
      <c r="O308" s="2">
        <v>1.79</v>
      </c>
      <c r="P308" s="2">
        <v>-1.2999999999999999E-2</v>
      </c>
      <c r="Q308" s="2">
        <v>-0.7</v>
      </c>
    </row>
    <row r="309" spans="1:17" x14ac:dyDescent="0.35">
      <c r="A309" s="2">
        <v>20</v>
      </c>
      <c r="B309" s="2">
        <v>6</v>
      </c>
      <c r="C309" s="2" t="s">
        <v>17</v>
      </c>
      <c r="D309" s="2">
        <v>2.3157999999999999</v>
      </c>
      <c r="E309" s="2">
        <v>0</v>
      </c>
      <c r="F309" s="4" t="s">
        <v>18</v>
      </c>
      <c r="G309" s="2">
        <v>0.87</v>
      </c>
      <c r="H309" s="2">
        <v>639</v>
      </c>
      <c r="I309" s="2">
        <v>257</v>
      </c>
      <c r="J309" s="2">
        <v>1.984</v>
      </c>
      <c r="K309" s="2">
        <v>2.0590000000000002</v>
      </c>
      <c r="L309" s="2">
        <v>2.04</v>
      </c>
      <c r="M309" s="2">
        <v>2.04</v>
      </c>
      <c r="N309" s="2">
        <v>3.0000000000000001E-3</v>
      </c>
      <c r="O309" s="2">
        <v>1.79</v>
      </c>
      <c r="P309" s="2">
        <v>0.251</v>
      </c>
      <c r="Q309" s="2">
        <v>14</v>
      </c>
    </row>
    <row r="310" spans="1:17" x14ac:dyDescent="0.35">
      <c r="A310" s="2">
        <v>20</v>
      </c>
      <c r="B310" s="2">
        <v>7</v>
      </c>
      <c r="C310" s="2" t="s">
        <v>17</v>
      </c>
      <c r="D310" s="2">
        <v>2.5789</v>
      </c>
      <c r="E310" s="2">
        <v>0</v>
      </c>
      <c r="F310" s="4" t="s">
        <v>18</v>
      </c>
      <c r="G310" s="2">
        <v>0.78</v>
      </c>
      <c r="H310" s="2">
        <v>639</v>
      </c>
      <c r="I310" s="2">
        <v>241</v>
      </c>
      <c r="J310" s="2">
        <v>2.2320000000000002</v>
      </c>
      <c r="K310" s="2">
        <v>2.3069999999999999</v>
      </c>
      <c r="L310" s="2">
        <v>2.3039999999999998</v>
      </c>
      <c r="M310" s="2">
        <v>2.3039999999999998</v>
      </c>
      <c r="N310" s="2">
        <v>3.0000000000000001E-3</v>
      </c>
      <c r="O310" s="2">
        <v>2.3159999999999998</v>
      </c>
      <c r="P310" s="2">
        <v>-1.2E-2</v>
      </c>
      <c r="Q310" s="2">
        <v>-0.5</v>
      </c>
    </row>
    <row r="311" spans="1:17" x14ac:dyDescent="0.35">
      <c r="A311" s="2">
        <v>20</v>
      </c>
      <c r="B311" s="2">
        <v>8</v>
      </c>
      <c r="C311" s="2" t="s">
        <v>17</v>
      </c>
      <c r="D311" s="2">
        <v>2.8420999999999998</v>
      </c>
      <c r="E311" s="2">
        <v>0</v>
      </c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x14ac:dyDescent="0.35">
      <c r="A312" s="2">
        <v>20</v>
      </c>
      <c r="B312" s="2">
        <v>9</v>
      </c>
      <c r="C312" s="2" t="s">
        <v>17</v>
      </c>
      <c r="D312" s="2">
        <v>3.1053000000000002</v>
      </c>
      <c r="E312" s="2">
        <v>0</v>
      </c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x14ac:dyDescent="0.35">
      <c r="A313" s="2">
        <v>20</v>
      </c>
      <c r="B313" s="2">
        <v>10</v>
      </c>
      <c r="C313" s="2" t="s">
        <v>17</v>
      </c>
      <c r="D313" s="2">
        <v>3.3683999999999998</v>
      </c>
      <c r="E313" s="2">
        <v>0</v>
      </c>
      <c r="F313" s="4" t="s">
        <v>18</v>
      </c>
      <c r="G313" s="2">
        <v>0.46</v>
      </c>
      <c r="H313" s="2">
        <v>640</v>
      </c>
      <c r="I313" s="2">
        <v>201</v>
      </c>
      <c r="J313" s="2">
        <v>3.2189999999999999</v>
      </c>
      <c r="K313" s="2">
        <v>3.294</v>
      </c>
      <c r="L313" s="2">
        <v>3.359</v>
      </c>
      <c r="M313" s="2">
        <v>3.359</v>
      </c>
      <c r="N313" s="2">
        <v>0</v>
      </c>
      <c r="O313" s="2">
        <v>3.3679999999999999</v>
      </c>
      <c r="P313" s="2">
        <v>-0.01</v>
      </c>
      <c r="Q313" s="2">
        <v>-0.3</v>
      </c>
    </row>
    <row r="314" spans="1:17" x14ac:dyDescent="0.35">
      <c r="A314" s="2">
        <v>20</v>
      </c>
      <c r="B314" s="2">
        <v>11</v>
      </c>
      <c r="C314" s="2" t="s">
        <v>17</v>
      </c>
      <c r="D314" s="2">
        <v>3.6316000000000002</v>
      </c>
      <c r="E314" s="2">
        <v>0</v>
      </c>
      <c r="F314" s="4" t="s">
        <v>18</v>
      </c>
      <c r="G314" s="2">
        <v>0.46</v>
      </c>
      <c r="H314" s="2">
        <v>640</v>
      </c>
      <c r="I314" s="2">
        <v>201</v>
      </c>
      <c r="J314" s="2">
        <v>3.2189999999999999</v>
      </c>
      <c r="K314" s="2">
        <v>3.294</v>
      </c>
      <c r="L314" s="2">
        <v>3.359</v>
      </c>
      <c r="M314" s="2">
        <v>3.359</v>
      </c>
      <c r="N314" s="2">
        <v>0</v>
      </c>
      <c r="O314" s="2">
        <v>3.3679999999999999</v>
      </c>
      <c r="P314" s="2">
        <v>-0.01</v>
      </c>
      <c r="Q314" s="2">
        <v>-0.3</v>
      </c>
    </row>
    <row r="315" spans="1:17" x14ac:dyDescent="0.35">
      <c r="A315" s="2">
        <v>20</v>
      </c>
      <c r="B315" s="2">
        <v>12</v>
      </c>
      <c r="C315" s="2" t="s">
        <v>17</v>
      </c>
      <c r="D315" s="2">
        <v>3.8946999999999998</v>
      </c>
      <c r="E315" s="2">
        <v>0</v>
      </c>
      <c r="F315" s="4" t="s">
        <v>18</v>
      </c>
      <c r="G315" s="2">
        <v>0.74</v>
      </c>
      <c r="H315" s="2">
        <v>640</v>
      </c>
      <c r="I315" s="2">
        <v>189</v>
      </c>
      <c r="J315" s="2">
        <v>3.7130000000000001</v>
      </c>
      <c r="K315" s="2">
        <v>3.7879999999999998</v>
      </c>
      <c r="L315" s="2">
        <v>3.8860000000000001</v>
      </c>
      <c r="M315" s="2">
        <v>3.8860000000000001</v>
      </c>
      <c r="N315" s="2">
        <v>0</v>
      </c>
      <c r="O315" s="2">
        <v>3.895</v>
      </c>
      <c r="P315" s="2">
        <v>-8.9999999999999993E-3</v>
      </c>
      <c r="Q315" s="2">
        <v>-0.2</v>
      </c>
    </row>
    <row r="316" spans="1:17" x14ac:dyDescent="0.35">
      <c r="A316" s="2">
        <v>20</v>
      </c>
      <c r="B316" s="2">
        <v>13</v>
      </c>
      <c r="C316" s="2" t="s">
        <v>17</v>
      </c>
      <c r="D316" s="2">
        <v>4.1578999999999997</v>
      </c>
      <c r="E316" s="2">
        <v>0</v>
      </c>
      <c r="F316" s="4" t="s">
        <v>18</v>
      </c>
      <c r="G316" s="2">
        <v>0.67</v>
      </c>
      <c r="H316" s="2">
        <v>640</v>
      </c>
      <c r="I316" s="2">
        <v>184</v>
      </c>
      <c r="J316" s="2">
        <v>3.96</v>
      </c>
      <c r="K316" s="2">
        <v>4.0350000000000001</v>
      </c>
      <c r="L316" s="2">
        <v>4.149</v>
      </c>
      <c r="M316" s="2">
        <v>4.149</v>
      </c>
      <c r="N316" s="2">
        <v>0</v>
      </c>
      <c r="O316" s="2">
        <v>4.1580000000000004</v>
      </c>
      <c r="P316" s="2">
        <v>-8.9999999999999993E-3</v>
      </c>
      <c r="Q316" s="2">
        <v>-0.2</v>
      </c>
    </row>
    <row r="317" spans="1:17" x14ac:dyDescent="0.35">
      <c r="A317" s="2">
        <v>20</v>
      </c>
      <c r="B317" s="2">
        <v>14</v>
      </c>
      <c r="C317" s="2" t="s">
        <v>17</v>
      </c>
      <c r="D317" s="2">
        <v>4.4211</v>
      </c>
      <c r="E317" s="2">
        <v>0</v>
      </c>
      <c r="F317" s="4" t="s">
        <v>18</v>
      </c>
      <c r="G317" s="2">
        <v>0.35</v>
      </c>
      <c r="H317" s="2">
        <v>640</v>
      </c>
      <c r="I317" s="2">
        <v>180</v>
      </c>
      <c r="J317" s="2">
        <v>4.2069999999999999</v>
      </c>
      <c r="K317" s="2">
        <v>4.282</v>
      </c>
      <c r="L317" s="2">
        <v>4.4130000000000003</v>
      </c>
      <c r="M317" s="2">
        <v>4.4130000000000003</v>
      </c>
      <c r="N317" s="2">
        <v>0</v>
      </c>
      <c r="O317" s="2">
        <v>4.1580000000000004</v>
      </c>
      <c r="P317" s="2">
        <v>0.255</v>
      </c>
      <c r="Q317" s="2">
        <v>6.1</v>
      </c>
    </row>
    <row r="318" spans="1:17" x14ac:dyDescent="0.35">
      <c r="A318" s="2">
        <v>20</v>
      </c>
      <c r="B318" s="2">
        <v>15</v>
      </c>
      <c r="C318" s="2" t="s">
        <v>17</v>
      </c>
      <c r="D318" s="2">
        <v>4.6841999999999997</v>
      </c>
      <c r="E318" s="2">
        <v>0</v>
      </c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x14ac:dyDescent="0.35">
      <c r="A319" s="2">
        <v>20</v>
      </c>
      <c r="B319" s="2">
        <v>16</v>
      </c>
      <c r="C319" s="2" t="s">
        <v>17</v>
      </c>
      <c r="D319" s="2">
        <v>4.9474</v>
      </c>
      <c r="E319" s="2">
        <v>0</v>
      </c>
      <c r="F319" s="4" t="s">
        <v>18</v>
      </c>
      <c r="G319" s="2">
        <v>0.54</v>
      </c>
      <c r="H319" s="2">
        <v>640</v>
      </c>
      <c r="I319" s="2">
        <v>173</v>
      </c>
      <c r="J319" s="2">
        <v>4.702</v>
      </c>
      <c r="K319" s="2">
        <v>4.7770000000000001</v>
      </c>
      <c r="L319" s="2">
        <v>4.9390000000000001</v>
      </c>
      <c r="M319" s="2">
        <v>4.9390000000000001</v>
      </c>
      <c r="N319" s="2">
        <v>0</v>
      </c>
      <c r="O319" s="2">
        <v>4.9470000000000001</v>
      </c>
      <c r="P319" s="2">
        <v>-8.0000000000000002E-3</v>
      </c>
      <c r="Q319" s="2">
        <v>-0.2</v>
      </c>
    </row>
    <row r="320" spans="1:17" x14ac:dyDescent="0.35">
      <c r="A320" s="2">
        <v>20</v>
      </c>
      <c r="B320" s="2">
        <v>17</v>
      </c>
      <c r="C320" s="2" t="s">
        <v>17</v>
      </c>
      <c r="D320" s="2">
        <v>5.2104999999999997</v>
      </c>
      <c r="E320" s="2">
        <v>0</v>
      </c>
      <c r="F320" s="4" t="s">
        <v>18</v>
      </c>
      <c r="G320" s="2">
        <v>0.46</v>
      </c>
      <c r="H320" s="2">
        <v>640</v>
      </c>
      <c r="I320" s="2">
        <v>169</v>
      </c>
      <c r="J320" s="2">
        <v>4.9459999999999997</v>
      </c>
      <c r="K320" s="2">
        <v>5.0209999999999999</v>
      </c>
      <c r="L320" s="2">
        <v>5.2030000000000003</v>
      </c>
      <c r="M320" s="2">
        <v>5.2030000000000003</v>
      </c>
      <c r="N320" s="2">
        <v>0</v>
      </c>
      <c r="O320" s="2">
        <v>5.2110000000000003</v>
      </c>
      <c r="P320" s="2">
        <v>-8.0000000000000002E-3</v>
      </c>
      <c r="Q320" s="2">
        <v>-0.2</v>
      </c>
    </row>
    <row r="321" spans="1:17" x14ac:dyDescent="0.35">
      <c r="A321" s="2">
        <v>20</v>
      </c>
      <c r="B321" s="2">
        <v>18</v>
      </c>
      <c r="C321" s="2" t="s">
        <v>17</v>
      </c>
      <c r="D321" s="2">
        <v>5.4737</v>
      </c>
      <c r="E321" s="2">
        <v>0</v>
      </c>
      <c r="F321" s="4" t="s">
        <v>18</v>
      </c>
      <c r="G321" s="2">
        <v>0.46</v>
      </c>
      <c r="H321" s="2">
        <v>640</v>
      </c>
      <c r="I321" s="2">
        <v>169</v>
      </c>
      <c r="J321" s="2">
        <v>4.9459999999999997</v>
      </c>
      <c r="K321" s="2">
        <v>5.0209999999999999</v>
      </c>
      <c r="L321" s="2">
        <v>5.2030000000000003</v>
      </c>
      <c r="M321" s="2">
        <v>5.2030000000000003</v>
      </c>
      <c r="N321" s="2">
        <v>0</v>
      </c>
      <c r="O321" s="2">
        <v>5.2110000000000003</v>
      </c>
      <c r="P321" s="2">
        <v>-8.0000000000000002E-3</v>
      </c>
      <c r="Q321" s="2">
        <v>-0.2</v>
      </c>
    </row>
    <row r="322" spans="1:17" x14ac:dyDescent="0.35">
      <c r="A322" s="2">
        <v>20</v>
      </c>
      <c r="B322" s="2">
        <v>19</v>
      </c>
      <c r="C322" s="2" t="s">
        <v>17</v>
      </c>
      <c r="D322" s="2">
        <v>5.7367999999999997</v>
      </c>
      <c r="E322" s="2">
        <v>0</v>
      </c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x14ac:dyDescent="0.35">
      <c r="A323" s="2">
        <v>20</v>
      </c>
      <c r="B323" s="2">
        <v>20</v>
      </c>
      <c r="C323" s="2" t="s">
        <v>17</v>
      </c>
      <c r="D323" s="2">
        <v>6</v>
      </c>
      <c r="E323" s="2">
        <v>0</v>
      </c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x14ac:dyDescent="0.35">
      <c r="A324" s="2">
        <v>20</v>
      </c>
      <c r="B324" s="2">
        <v>21</v>
      </c>
      <c r="C324" s="2" t="s">
        <v>19</v>
      </c>
      <c r="D324" s="2">
        <v>3</v>
      </c>
      <c r="E324" s="2">
        <v>-2.75</v>
      </c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x14ac:dyDescent="0.35">
      <c r="A325" s="2">
        <v>20</v>
      </c>
      <c r="B325" s="2">
        <v>22</v>
      </c>
      <c r="C325" s="2" t="s">
        <v>19</v>
      </c>
      <c r="D325" s="2">
        <v>3</v>
      </c>
      <c r="E325" s="2">
        <v>-2.4605000000000001</v>
      </c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x14ac:dyDescent="0.35">
      <c r="A326" s="2">
        <v>20</v>
      </c>
      <c r="B326" s="2">
        <v>23</v>
      </c>
      <c r="C326" s="2" t="s">
        <v>19</v>
      </c>
      <c r="D326" s="2">
        <v>3</v>
      </c>
      <c r="E326" s="2">
        <v>-2.1711</v>
      </c>
      <c r="F326" s="4" t="s">
        <v>18</v>
      </c>
      <c r="G326" s="2">
        <v>0.5</v>
      </c>
      <c r="H326" s="2">
        <v>1133</v>
      </c>
      <c r="I326" s="2">
        <v>211</v>
      </c>
      <c r="J326" s="2">
        <v>2.8940000000000001</v>
      </c>
      <c r="K326" s="2">
        <v>2.9689999999999999</v>
      </c>
      <c r="L326" s="2">
        <v>3.7130000000000001</v>
      </c>
      <c r="M326" s="2">
        <v>3.012</v>
      </c>
      <c r="N326" s="2">
        <v>-2.17</v>
      </c>
      <c r="O326" s="2">
        <v>3.7029999999999998</v>
      </c>
      <c r="P326" s="2">
        <v>8.9999999999999993E-3</v>
      </c>
      <c r="Q326" s="2">
        <v>0.3</v>
      </c>
    </row>
    <row r="327" spans="1:17" x14ac:dyDescent="0.35">
      <c r="A327" s="2">
        <v>20</v>
      </c>
      <c r="B327" s="2">
        <v>24</v>
      </c>
      <c r="C327" s="2" t="s">
        <v>19</v>
      </c>
      <c r="D327" s="2">
        <v>3</v>
      </c>
      <c r="E327" s="2">
        <v>-1.8815999999999999</v>
      </c>
      <c r="F327" s="4" t="s">
        <v>18</v>
      </c>
      <c r="G327" s="2">
        <v>0.69</v>
      </c>
      <c r="H327" s="2">
        <v>1067</v>
      </c>
      <c r="I327" s="2">
        <v>211</v>
      </c>
      <c r="J327" s="2">
        <v>2.891</v>
      </c>
      <c r="K327" s="2">
        <v>2.9660000000000002</v>
      </c>
      <c r="L327" s="2">
        <v>3.5459999999999998</v>
      </c>
      <c r="M327" s="2">
        <v>3.0089999999999999</v>
      </c>
      <c r="N327" s="2">
        <v>-1.8779999999999999</v>
      </c>
      <c r="O327" s="2">
        <v>3.5409999999999999</v>
      </c>
      <c r="P327" s="2">
        <v>5.0000000000000001E-3</v>
      </c>
      <c r="Q327" s="2">
        <v>0.1</v>
      </c>
    </row>
    <row r="328" spans="1:17" x14ac:dyDescent="0.35">
      <c r="A328" s="2">
        <v>20</v>
      </c>
      <c r="B328" s="2">
        <v>25</v>
      </c>
      <c r="C328" s="2" t="s">
        <v>19</v>
      </c>
      <c r="D328" s="2">
        <v>3</v>
      </c>
      <c r="E328" s="2">
        <v>-1.5921000000000001</v>
      </c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x14ac:dyDescent="0.35">
      <c r="A329" s="2">
        <v>20</v>
      </c>
      <c r="B329" s="2">
        <v>26</v>
      </c>
      <c r="C329" s="2" t="s">
        <v>19</v>
      </c>
      <c r="D329" s="2">
        <v>3</v>
      </c>
      <c r="E329" s="2">
        <v>-1.3026</v>
      </c>
      <c r="F329" s="4" t="s">
        <v>18</v>
      </c>
      <c r="G329" s="2">
        <v>0.42</v>
      </c>
      <c r="H329" s="2">
        <v>935</v>
      </c>
      <c r="I329" s="2">
        <v>211</v>
      </c>
      <c r="J329" s="2">
        <v>2.883</v>
      </c>
      <c r="K329" s="2">
        <v>2.9580000000000002</v>
      </c>
      <c r="L329" s="2">
        <v>3.2679999999999998</v>
      </c>
      <c r="M329" s="2">
        <v>3.0009999999999999</v>
      </c>
      <c r="N329" s="2">
        <v>-1.294</v>
      </c>
      <c r="O329" s="2">
        <v>3.2709999999999999</v>
      </c>
      <c r="P329" s="2">
        <v>-2E-3</v>
      </c>
      <c r="Q329" s="2">
        <v>-0.1</v>
      </c>
    </row>
    <row r="330" spans="1:17" x14ac:dyDescent="0.35">
      <c r="A330" s="2">
        <v>20</v>
      </c>
      <c r="B330" s="2">
        <v>27</v>
      </c>
      <c r="C330" s="2" t="s">
        <v>19</v>
      </c>
      <c r="D330" s="2">
        <v>3</v>
      </c>
      <c r="E330" s="2">
        <v>-1.0132000000000001</v>
      </c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x14ac:dyDescent="0.35">
      <c r="A331" s="2">
        <v>20</v>
      </c>
      <c r="B331" s="2">
        <v>28</v>
      </c>
      <c r="C331" s="2" t="s">
        <v>19</v>
      </c>
      <c r="D331" s="2">
        <v>3</v>
      </c>
      <c r="E331" s="2">
        <v>-0.72370000000000001</v>
      </c>
      <c r="F331" s="4" t="s">
        <v>18</v>
      </c>
      <c r="G331" s="2">
        <v>0.82</v>
      </c>
      <c r="H331" s="2">
        <v>804</v>
      </c>
      <c r="I331" s="2">
        <v>212</v>
      </c>
      <c r="J331" s="2">
        <v>2.8769999999999998</v>
      </c>
      <c r="K331" s="2">
        <v>2.952</v>
      </c>
      <c r="L331" s="2">
        <v>3.0779999999999998</v>
      </c>
      <c r="M331" s="2">
        <v>2.9929999999999999</v>
      </c>
      <c r="N331" s="2">
        <v>-0.71799999999999997</v>
      </c>
      <c r="O331" s="2">
        <v>3.0859999999999999</v>
      </c>
      <c r="P331" s="2">
        <v>-8.0000000000000002E-3</v>
      </c>
      <c r="Q331" s="2">
        <v>-0.3</v>
      </c>
    </row>
    <row r="332" spans="1:17" x14ac:dyDescent="0.35">
      <c r="A332" s="2">
        <v>20</v>
      </c>
      <c r="B332" s="2">
        <v>29</v>
      </c>
      <c r="C332" s="2" t="s">
        <v>19</v>
      </c>
      <c r="D332" s="2">
        <v>3</v>
      </c>
      <c r="E332" s="2">
        <v>-0.43419999999999997</v>
      </c>
      <c r="F332" s="4" t="s">
        <v>18</v>
      </c>
      <c r="G332" s="2">
        <v>0.83</v>
      </c>
      <c r="H332" s="2">
        <v>739</v>
      </c>
      <c r="I332" s="2">
        <v>212</v>
      </c>
      <c r="J332" s="2">
        <v>2.875</v>
      </c>
      <c r="K332" s="2">
        <v>2.95</v>
      </c>
      <c r="L332" s="2">
        <v>3.0219999999999998</v>
      </c>
      <c r="M332" s="2">
        <v>2.9910000000000001</v>
      </c>
      <c r="N332" s="2">
        <v>-0.433</v>
      </c>
      <c r="O332" s="2">
        <v>3.0310000000000001</v>
      </c>
      <c r="P332" s="2">
        <v>-8.9999999999999993E-3</v>
      </c>
      <c r="Q332" s="2">
        <v>-0.3</v>
      </c>
    </row>
    <row r="333" spans="1:17" x14ac:dyDescent="0.35">
      <c r="A333" s="2">
        <v>20</v>
      </c>
      <c r="B333" s="2">
        <v>30</v>
      </c>
      <c r="C333" s="2" t="s">
        <v>19</v>
      </c>
      <c r="D333" s="2">
        <v>3</v>
      </c>
      <c r="E333" s="2">
        <v>-0.1447</v>
      </c>
      <c r="F333" s="4" t="s">
        <v>18</v>
      </c>
      <c r="G333" s="2">
        <v>0.83</v>
      </c>
      <c r="H333" s="2">
        <v>739</v>
      </c>
      <c r="I333" s="2">
        <v>212</v>
      </c>
      <c r="J333" s="2">
        <v>2.875</v>
      </c>
      <c r="K333" s="2">
        <v>2.95</v>
      </c>
      <c r="L333" s="2">
        <v>3.0219999999999998</v>
      </c>
      <c r="M333" s="2">
        <v>2.9910000000000001</v>
      </c>
      <c r="N333" s="2">
        <v>-0.433</v>
      </c>
      <c r="O333" s="2">
        <v>3.0310000000000001</v>
      </c>
      <c r="P333" s="2">
        <v>-8.9999999999999993E-3</v>
      </c>
      <c r="Q333" s="2">
        <v>-0.3</v>
      </c>
    </row>
    <row r="334" spans="1:17" x14ac:dyDescent="0.35">
      <c r="A334" s="2">
        <v>20</v>
      </c>
      <c r="B334" s="2">
        <v>31</v>
      </c>
      <c r="C334" s="2" t="s">
        <v>19</v>
      </c>
      <c r="D334" s="2">
        <v>3</v>
      </c>
      <c r="E334" s="2">
        <v>0.1447</v>
      </c>
      <c r="F334" s="4" t="s">
        <v>18</v>
      </c>
      <c r="G334" s="2">
        <v>0.77</v>
      </c>
      <c r="H334" s="2">
        <v>673</v>
      </c>
      <c r="I334" s="2">
        <v>212</v>
      </c>
      <c r="J334" s="2">
        <v>2.8740000000000001</v>
      </c>
      <c r="K334" s="2">
        <v>2.9489999999999998</v>
      </c>
      <c r="L334" s="2">
        <v>2.9929999999999999</v>
      </c>
      <c r="M334" s="2">
        <v>2.99</v>
      </c>
      <c r="N334" s="2">
        <v>-0.14399999999999999</v>
      </c>
      <c r="O334" s="2">
        <v>3.0030000000000001</v>
      </c>
      <c r="P334" s="2">
        <v>-0.01</v>
      </c>
      <c r="Q334" s="2">
        <v>-0.3</v>
      </c>
    </row>
    <row r="335" spans="1:17" x14ac:dyDescent="0.35">
      <c r="A335" s="2">
        <v>20</v>
      </c>
      <c r="B335" s="2">
        <v>32</v>
      </c>
      <c r="C335" s="2" t="s">
        <v>19</v>
      </c>
      <c r="D335" s="2">
        <v>3</v>
      </c>
      <c r="E335" s="2">
        <v>0.43419999999999997</v>
      </c>
      <c r="F335" s="4" t="s">
        <v>18</v>
      </c>
      <c r="G335" s="2">
        <v>0.83</v>
      </c>
      <c r="H335" s="2">
        <v>541</v>
      </c>
      <c r="I335" s="2">
        <v>212</v>
      </c>
      <c r="J335" s="2">
        <v>2.875</v>
      </c>
      <c r="K335" s="2">
        <v>2.95</v>
      </c>
      <c r="L335" s="2">
        <v>3.0219999999999998</v>
      </c>
      <c r="M335" s="2">
        <v>2.9910000000000001</v>
      </c>
      <c r="N335" s="2">
        <v>0.433</v>
      </c>
      <c r="O335" s="2">
        <v>3.0310000000000001</v>
      </c>
      <c r="P335" s="2">
        <v>-8.9999999999999993E-3</v>
      </c>
      <c r="Q335" s="2">
        <v>-0.3</v>
      </c>
    </row>
    <row r="336" spans="1:17" x14ac:dyDescent="0.35">
      <c r="A336" s="2">
        <v>20</v>
      </c>
      <c r="B336" s="2">
        <v>33</v>
      </c>
      <c r="C336" s="2" t="s">
        <v>19</v>
      </c>
      <c r="D336" s="2">
        <v>3</v>
      </c>
      <c r="E336" s="2">
        <v>0.72370000000000001</v>
      </c>
      <c r="F336" s="4" t="s">
        <v>18</v>
      </c>
      <c r="G336" s="2">
        <v>0.8</v>
      </c>
      <c r="H336" s="2">
        <v>476</v>
      </c>
      <c r="I336" s="2">
        <v>211</v>
      </c>
      <c r="J336" s="2">
        <v>2.8769999999999998</v>
      </c>
      <c r="K336" s="2">
        <v>2.952</v>
      </c>
      <c r="L336" s="2">
        <v>3.0790000000000002</v>
      </c>
      <c r="M336" s="2">
        <v>2.9950000000000001</v>
      </c>
      <c r="N336" s="2">
        <v>0.71799999999999997</v>
      </c>
      <c r="O336" s="2">
        <v>3.0859999999999999</v>
      </c>
      <c r="P336" s="2">
        <v>-7.0000000000000001E-3</v>
      </c>
      <c r="Q336" s="2">
        <v>-0.2</v>
      </c>
    </row>
    <row r="337" spans="1:17" x14ac:dyDescent="0.35">
      <c r="A337" s="2">
        <v>20</v>
      </c>
      <c r="B337" s="2">
        <v>34</v>
      </c>
      <c r="C337" s="2" t="s">
        <v>19</v>
      </c>
      <c r="D337" s="2">
        <v>3</v>
      </c>
      <c r="E337" s="2">
        <v>1.0132000000000001</v>
      </c>
      <c r="F337" s="4" t="s">
        <v>18</v>
      </c>
      <c r="G337" s="2">
        <v>0.77</v>
      </c>
      <c r="H337" s="2">
        <v>410</v>
      </c>
      <c r="I337" s="2">
        <v>211</v>
      </c>
      <c r="J337" s="2">
        <v>2.88</v>
      </c>
      <c r="K337" s="2">
        <v>2.9550000000000001</v>
      </c>
      <c r="L337" s="2">
        <v>3.1629999999999998</v>
      </c>
      <c r="M337" s="2">
        <v>2.9980000000000002</v>
      </c>
      <c r="N337" s="2">
        <v>1.008</v>
      </c>
      <c r="O337" s="2">
        <v>3.1659999999999999</v>
      </c>
      <c r="P337" s="2">
        <v>-4.0000000000000001E-3</v>
      </c>
      <c r="Q337" s="2">
        <v>-0.1</v>
      </c>
    </row>
    <row r="338" spans="1:17" x14ac:dyDescent="0.35">
      <c r="A338" s="2">
        <v>20</v>
      </c>
      <c r="B338" s="2">
        <v>35</v>
      </c>
      <c r="C338" s="2" t="s">
        <v>19</v>
      </c>
      <c r="D338" s="2">
        <v>3</v>
      </c>
      <c r="E338" s="2">
        <v>1.3026</v>
      </c>
      <c r="F338" s="4" t="s">
        <v>18</v>
      </c>
      <c r="G338" s="2">
        <v>0.8</v>
      </c>
      <c r="H338" s="2">
        <v>344</v>
      </c>
      <c r="I338" s="2">
        <v>212</v>
      </c>
      <c r="J338" s="2">
        <v>2.8839999999999999</v>
      </c>
      <c r="K338" s="2">
        <v>2.9590000000000001</v>
      </c>
      <c r="L338" s="2">
        <v>3.27</v>
      </c>
      <c r="M338" s="2">
        <v>3.0009999999999999</v>
      </c>
      <c r="N338" s="2">
        <v>1.2989999999999999</v>
      </c>
      <c r="O338" s="2">
        <v>3.2709999999999999</v>
      </c>
      <c r="P338" s="2">
        <v>-1E-3</v>
      </c>
      <c r="Q338" s="2">
        <v>0</v>
      </c>
    </row>
    <row r="339" spans="1:17" x14ac:dyDescent="0.35">
      <c r="A339" s="2">
        <v>20</v>
      </c>
      <c r="B339" s="2">
        <v>36</v>
      </c>
      <c r="C339" s="2" t="s">
        <v>19</v>
      </c>
      <c r="D339" s="2">
        <v>3</v>
      </c>
      <c r="E339" s="2">
        <v>1.5921000000000001</v>
      </c>
      <c r="F339" s="4" t="s">
        <v>18</v>
      </c>
      <c r="G339" s="2">
        <v>0.72</v>
      </c>
      <c r="H339" s="2">
        <v>277</v>
      </c>
      <c r="I339" s="2">
        <v>211</v>
      </c>
      <c r="J339" s="2">
        <v>2.8849999999999998</v>
      </c>
      <c r="K339" s="2">
        <v>2.96</v>
      </c>
      <c r="L339" s="2">
        <v>3.399</v>
      </c>
      <c r="M339" s="2">
        <v>3.0019999999999998</v>
      </c>
      <c r="N339" s="2">
        <v>1.593</v>
      </c>
      <c r="O339" s="2">
        <v>3.3959999999999999</v>
      </c>
      <c r="P339" s="2">
        <v>2E-3</v>
      </c>
      <c r="Q339" s="2">
        <v>0.1</v>
      </c>
    </row>
    <row r="340" spans="1:17" x14ac:dyDescent="0.35">
      <c r="A340" s="2">
        <v>20</v>
      </c>
      <c r="B340" s="2">
        <v>37</v>
      </c>
      <c r="C340" s="2" t="s">
        <v>19</v>
      </c>
      <c r="D340" s="2">
        <v>3</v>
      </c>
      <c r="E340" s="2">
        <v>1.8815999999999999</v>
      </c>
      <c r="F340" s="4" t="s">
        <v>18</v>
      </c>
      <c r="G340" s="2">
        <v>0.37</v>
      </c>
      <c r="H340" s="2">
        <v>211</v>
      </c>
      <c r="I340" s="2">
        <v>211</v>
      </c>
      <c r="J340" s="2">
        <v>2.8879999999999999</v>
      </c>
      <c r="K340" s="2">
        <v>2.9630000000000001</v>
      </c>
      <c r="L340" s="2">
        <v>3.548</v>
      </c>
      <c r="M340" s="2">
        <v>3.0059999999999998</v>
      </c>
      <c r="N340" s="2">
        <v>1.885</v>
      </c>
      <c r="O340" s="2">
        <v>3.5409999999999999</v>
      </c>
      <c r="P340" s="2">
        <v>7.0000000000000001E-3</v>
      </c>
      <c r="Q340" s="2">
        <v>0.2</v>
      </c>
    </row>
    <row r="341" spans="1:17" x14ac:dyDescent="0.35">
      <c r="A341" s="2">
        <v>20</v>
      </c>
      <c r="B341" s="2">
        <v>38</v>
      </c>
      <c r="C341" s="2" t="s">
        <v>19</v>
      </c>
      <c r="D341" s="2">
        <v>3</v>
      </c>
      <c r="E341" s="2">
        <v>2.1711</v>
      </c>
      <c r="F341" s="4" t="s">
        <v>18</v>
      </c>
      <c r="G341" s="2">
        <v>0.48</v>
      </c>
      <c r="H341" s="2">
        <v>145</v>
      </c>
      <c r="I341" s="2">
        <v>211</v>
      </c>
      <c r="J341" s="2">
        <v>2.8919999999999999</v>
      </c>
      <c r="K341" s="2">
        <v>2.9670000000000001</v>
      </c>
      <c r="L341" s="2">
        <v>3.7149999999999999</v>
      </c>
      <c r="M341" s="2">
        <v>3.01</v>
      </c>
      <c r="N341" s="2">
        <v>2.1779999999999999</v>
      </c>
      <c r="O341" s="2">
        <v>3.7029999999999998</v>
      </c>
      <c r="P341" s="2">
        <v>1.2E-2</v>
      </c>
      <c r="Q341" s="2">
        <v>0.3</v>
      </c>
    </row>
    <row r="342" spans="1:17" x14ac:dyDescent="0.35">
      <c r="A342" s="2">
        <v>20</v>
      </c>
      <c r="B342" s="2">
        <v>39</v>
      </c>
      <c r="C342" s="2" t="s">
        <v>19</v>
      </c>
      <c r="D342" s="2">
        <v>3</v>
      </c>
      <c r="E342" s="2">
        <v>2.4605000000000001</v>
      </c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x14ac:dyDescent="0.35">
      <c r="A343" s="2">
        <v>20</v>
      </c>
      <c r="B343" s="2">
        <v>40</v>
      </c>
      <c r="C343" s="2" t="s">
        <v>19</v>
      </c>
      <c r="D343" s="2">
        <v>3</v>
      </c>
      <c r="E343" s="2">
        <v>2.75</v>
      </c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x14ac:dyDescent="0.35">
      <c r="A344" s="2">
        <v>10</v>
      </c>
      <c r="B344" s="2">
        <v>1</v>
      </c>
      <c r="C344" s="2" t="s">
        <v>17</v>
      </c>
      <c r="D344" s="2">
        <v>1</v>
      </c>
      <c r="E344" s="2">
        <v>0</v>
      </c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x14ac:dyDescent="0.35">
      <c r="A345" s="2">
        <v>10</v>
      </c>
      <c r="B345" s="2">
        <v>2</v>
      </c>
      <c r="C345" s="2" t="s">
        <v>17</v>
      </c>
      <c r="D345" s="2">
        <v>1.2632000000000001</v>
      </c>
      <c r="E345" s="2">
        <v>0</v>
      </c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x14ac:dyDescent="0.35">
      <c r="A346" s="2">
        <v>10</v>
      </c>
      <c r="B346" s="2">
        <v>3</v>
      </c>
      <c r="C346" s="2" t="s">
        <v>17</v>
      </c>
      <c r="D346" s="2">
        <v>1.5263</v>
      </c>
      <c r="E346" s="2">
        <v>0</v>
      </c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x14ac:dyDescent="0.35">
      <c r="A347" s="2">
        <v>10</v>
      </c>
      <c r="B347" s="2">
        <v>4</v>
      </c>
      <c r="C347" s="2" t="s">
        <v>17</v>
      </c>
      <c r="D347" s="2">
        <v>1.7895000000000001</v>
      </c>
      <c r="E347" s="2">
        <v>0</v>
      </c>
      <c r="F347" s="4" t="s">
        <v>18</v>
      </c>
      <c r="G347" s="2">
        <v>0.89</v>
      </c>
      <c r="H347" s="2">
        <v>639</v>
      </c>
      <c r="I347" s="2">
        <v>302</v>
      </c>
      <c r="J347" s="2">
        <v>1.488</v>
      </c>
      <c r="K347" s="2">
        <v>1.5629999999999999</v>
      </c>
      <c r="L347" s="2">
        <v>1.512</v>
      </c>
      <c r="M347" s="2">
        <v>1.512</v>
      </c>
      <c r="N347" s="2">
        <v>2E-3</v>
      </c>
      <c r="O347" s="2">
        <v>1.526</v>
      </c>
      <c r="P347" s="2">
        <v>-1.4E-2</v>
      </c>
      <c r="Q347" s="2">
        <v>-0.9</v>
      </c>
    </row>
    <row r="348" spans="1:17" x14ac:dyDescent="0.35">
      <c r="A348" s="2">
        <v>10</v>
      </c>
      <c r="B348" s="2">
        <v>5</v>
      </c>
      <c r="C348" s="2" t="s">
        <v>17</v>
      </c>
      <c r="D348" s="2">
        <v>2.0526</v>
      </c>
      <c r="E348" s="2">
        <v>0</v>
      </c>
      <c r="F348" s="4" t="s">
        <v>18</v>
      </c>
      <c r="G348" s="2">
        <v>0.87</v>
      </c>
      <c r="H348" s="2">
        <v>639</v>
      </c>
      <c r="I348" s="2">
        <v>257</v>
      </c>
      <c r="J348" s="2">
        <v>1.984</v>
      </c>
      <c r="K348" s="2">
        <v>2.0590000000000002</v>
      </c>
      <c r="L348" s="2">
        <v>2.04</v>
      </c>
      <c r="M348" s="2">
        <v>2.04</v>
      </c>
      <c r="N348" s="2">
        <v>3.0000000000000001E-3</v>
      </c>
      <c r="O348" s="2">
        <v>2.0529999999999999</v>
      </c>
      <c r="P348" s="2">
        <v>-1.2E-2</v>
      </c>
      <c r="Q348" s="2">
        <v>-0.6</v>
      </c>
    </row>
    <row r="349" spans="1:17" x14ac:dyDescent="0.35">
      <c r="A349" s="2">
        <v>10</v>
      </c>
      <c r="B349" s="2">
        <v>6</v>
      </c>
      <c r="C349" s="2" t="s">
        <v>17</v>
      </c>
      <c r="D349" s="2">
        <v>2.3157999999999999</v>
      </c>
      <c r="E349" s="2">
        <v>0</v>
      </c>
      <c r="F349" s="4" t="s">
        <v>18</v>
      </c>
      <c r="G349" s="2">
        <v>0.87</v>
      </c>
      <c r="H349" s="2">
        <v>639</v>
      </c>
      <c r="I349" s="2">
        <v>257</v>
      </c>
      <c r="J349" s="2">
        <v>1.984</v>
      </c>
      <c r="K349" s="2">
        <v>2.0590000000000002</v>
      </c>
      <c r="L349" s="2">
        <v>2.04</v>
      </c>
      <c r="M349" s="2">
        <v>2.04</v>
      </c>
      <c r="N349" s="2">
        <v>3.0000000000000001E-3</v>
      </c>
      <c r="O349" s="2">
        <v>2.0529999999999999</v>
      </c>
      <c r="P349" s="2">
        <v>-1.2E-2</v>
      </c>
      <c r="Q349" s="2">
        <v>-0.6</v>
      </c>
    </row>
    <row r="350" spans="1:17" x14ac:dyDescent="0.35">
      <c r="A350" s="2">
        <v>10</v>
      </c>
      <c r="B350" s="2">
        <v>7</v>
      </c>
      <c r="C350" s="2" t="s">
        <v>17</v>
      </c>
      <c r="D350" s="2">
        <v>2.5789</v>
      </c>
      <c r="E350" s="2">
        <v>0</v>
      </c>
      <c r="F350" s="4" t="s">
        <v>18</v>
      </c>
      <c r="G350" s="2">
        <v>0.8</v>
      </c>
      <c r="H350" s="2">
        <v>639</v>
      </c>
      <c r="I350" s="2">
        <v>241</v>
      </c>
      <c r="J350" s="2">
        <v>2.2320000000000002</v>
      </c>
      <c r="K350" s="2">
        <v>2.3069999999999999</v>
      </c>
      <c r="L350" s="2">
        <v>2.3039999999999998</v>
      </c>
      <c r="M350" s="2">
        <v>2.3039999999999998</v>
      </c>
      <c r="N350" s="2">
        <v>3.0000000000000001E-3</v>
      </c>
      <c r="O350" s="2">
        <v>2.3159999999999998</v>
      </c>
      <c r="P350" s="2">
        <v>-1.2E-2</v>
      </c>
      <c r="Q350" s="2">
        <v>-0.5</v>
      </c>
    </row>
    <row r="351" spans="1:17" x14ac:dyDescent="0.35">
      <c r="A351" s="2">
        <v>10</v>
      </c>
      <c r="B351" s="2">
        <v>8</v>
      </c>
      <c r="C351" s="2" t="s">
        <v>17</v>
      </c>
      <c r="D351" s="2">
        <v>2.8420999999999998</v>
      </c>
      <c r="E351" s="2">
        <v>0</v>
      </c>
      <c r="F351" s="4" t="s">
        <v>18</v>
      </c>
      <c r="G351" s="2">
        <v>0.84</v>
      </c>
      <c r="H351" s="2">
        <v>639</v>
      </c>
      <c r="I351" s="2">
        <v>227</v>
      </c>
      <c r="J351" s="2">
        <v>2.4769999999999999</v>
      </c>
      <c r="K351" s="2">
        <v>2.552</v>
      </c>
      <c r="L351" s="2">
        <v>2.5680000000000001</v>
      </c>
      <c r="M351" s="2">
        <v>2.5680000000000001</v>
      </c>
      <c r="N351" s="2">
        <v>4.0000000000000001E-3</v>
      </c>
      <c r="O351" s="2">
        <v>2.5790000000000002</v>
      </c>
      <c r="P351" s="2">
        <v>-1.0999999999999999E-2</v>
      </c>
      <c r="Q351" s="2">
        <v>-0.4</v>
      </c>
    </row>
    <row r="352" spans="1:17" x14ac:dyDescent="0.35">
      <c r="A352" s="2">
        <v>10</v>
      </c>
      <c r="B352" s="2">
        <v>9</v>
      </c>
      <c r="C352" s="2" t="s">
        <v>17</v>
      </c>
      <c r="D352" s="2">
        <v>3.1053000000000002</v>
      </c>
      <c r="E352" s="2">
        <v>0</v>
      </c>
      <c r="F352" s="4" t="s">
        <v>18</v>
      </c>
      <c r="G352" s="2">
        <v>0.73</v>
      </c>
      <c r="H352" s="2">
        <v>639</v>
      </c>
      <c r="I352" s="2">
        <v>217</v>
      </c>
      <c r="J352" s="2">
        <v>2.7250000000000001</v>
      </c>
      <c r="K352" s="2">
        <v>2.8</v>
      </c>
      <c r="L352" s="2">
        <v>2.8319999999999999</v>
      </c>
      <c r="M352" s="2">
        <v>2.8319999999999999</v>
      </c>
      <c r="N352" s="2">
        <v>4.0000000000000001E-3</v>
      </c>
      <c r="O352" s="2">
        <v>3.105</v>
      </c>
      <c r="P352" s="2">
        <v>-0.27400000000000002</v>
      </c>
      <c r="Q352" s="2">
        <v>-8.8000000000000007</v>
      </c>
    </row>
    <row r="353" spans="1:17" x14ac:dyDescent="0.35">
      <c r="A353" s="2">
        <v>10</v>
      </c>
      <c r="B353" s="2">
        <v>10</v>
      </c>
      <c r="C353" s="2" t="s">
        <v>17</v>
      </c>
      <c r="D353" s="2">
        <v>3.3683999999999998</v>
      </c>
      <c r="E353" s="2">
        <v>0</v>
      </c>
      <c r="F353" s="4" t="s">
        <v>18</v>
      </c>
      <c r="G353" s="2">
        <v>0.33</v>
      </c>
      <c r="H353" s="2">
        <v>639</v>
      </c>
      <c r="I353" s="2">
        <v>209</v>
      </c>
      <c r="J353" s="2">
        <v>2.9729999999999999</v>
      </c>
      <c r="K353" s="2">
        <v>3.048</v>
      </c>
      <c r="L353" s="2">
        <v>3.0950000000000002</v>
      </c>
      <c r="M353" s="2">
        <v>3.0950000000000002</v>
      </c>
      <c r="N353" s="2">
        <v>5.0000000000000001E-3</v>
      </c>
      <c r="O353" s="2">
        <v>3.3679999999999999</v>
      </c>
      <c r="P353" s="2">
        <v>-0.27300000000000002</v>
      </c>
      <c r="Q353" s="2">
        <v>-8.1</v>
      </c>
    </row>
    <row r="354" spans="1:17" x14ac:dyDescent="0.35">
      <c r="A354" s="2">
        <v>10</v>
      </c>
      <c r="B354" s="2">
        <v>11</v>
      </c>
      <c r="C354" s="2" t="s">
        <v>17</v>
      </c>
      <c r="D354" s="2">
        <v>3.6316000000000002</v>
      </c>
      <c r="E354" s="2">
        <v>0</v>
      </c>
      <c r="F354" s="4" t="s">
        <v>18</v>
      </c>
      <c r="G354" s="2">
        <v>0.42</v>
      </c>
      <c r="H354" s="2">
        <v>640</v>
      </c>
      <c r="I354" s="2">
        <v>201</v>
      </c>
      <c r="J354" s="2">
        <v>3.2189999999999999</v>
      </c>
      <c r="K354" s="2">
        <v>3.294</v>
      </c>
      <c r="L354" s="2">
        <v>3.359</v>
      </c>
      <c r="M354" s="2">
        <v>3.359</v>
      </c>
      <c r="N354" s="2">
        <v>0</v>
      </c>
      <c r="O354" s="2">
        <v>3.3679999999999999</v>
      </c>
      <c r="P354" s="2">
        <v>-0.01</v>
      </c>
      <c r="Q354" s="2">
        <v>-0.3</v>
      </c>
    </row>
    <row r="355" spans="1:17" x14ac:dyDescent="0.35">
      <c r="A355" s="2">
        <v>10</v>
      </c>
      <c r="B355" s="2">
        <v>12</v>
      </c>
      <c r="C355" s="2" t="s">
        <v>17</v>
      </c>
      <c r="D355" s="2">
        <v>3.8946999999999998</v>
      </c>
      <c r="E355" s="2">
        <v>0</v>
      </c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x14ac:dyDescent="0.35">
      <c r="A356" s="2">
        <v>10</v>
      </c>
      <c r="B356" s="2">
        <v>13</v>
      </c>
      <c r="C356" s="2" t="s">
        <v>17</v>
      </c>
      <c r="D356" s="2">
        <v>4.1578999999999997</v>
      </c>
      <c r="E356" s="2">
        <v>0</v>
      </c>
      <c r="F356" s="4" t="s">
        <v>18</v>
      </c>
      <c r="G356" s="2">
        <v>0.71</v>
      </c>
      <c r="H356" s="2">
        <v>640</v>
      </c>
      <c r="I356" s="2">
        <v>189</v>
      </c>
      <c r="J356" s="2">
        <v>3.7130000000000001</v>
      </c>
      <c r="K356" s="2">
        <v>3.7879999999999998</v>
      </c>
      <c r="L356" s="2">
        <v>3.8860000000000001</v>
      </c>
      <c r="M356" s="2">
        <v>3.8860000000000001</v>
      </c>
      <c r="N356" s="2">
        <v>0</v>
      </c>
      <c r="O356" s="2">
        <v>4.1580000000000004</v>
      </c>
      <c r="P356" s="2">
        <v>-0.27200000000000002</v>
      </c>
      <c r="Q356" s="2">
        <v>-6.5</v>
      </c>
    </row>
    <row r="357" spans="1:17" x14ac:dyDescent="0.35">
      <c r="A357" s="2">
        <v>10</v>
      </c>
      <c r="B357" s="2">
        <v>14</v>
      </c>
      <c r="C357" s="2" t="s">
        <v>17</v>
      </c>
      <c r="D357" s="2">
        <v>4.4211</v>
      </c>
      <c r="E357" s="2">
        <v>0</v>
      </c>
      <c r="F357" s="4" t="s">
        <v>18</v>
      </c>
      <c r="G357" s="2">
        <v>0.63</v>
      </c>
      <c r="H357" s="2">
        <v>640</v>
      </c>
      <c r="I357" s="2">
        <v>184</v>
      </c>
      <c r="J357" s="2">
        <v>3.7040000000000002</v>
      </c>
      <c r="K357" s="2">
        <v>3.7789999999999999</v>
      </c>
      <c r="L357" s="2">
        <v>3.8860000000000001</v>
      </c>
      <c r="M357" s="2">
        <v>3.8860000000000001</v>
      </c>
      <c r="N357" s="2">
        <v>0</v>
      </c>
      <c r="O357" s="2">
        <v>4.1580000000000004</v>
      </c>
      <c r="P357" s="2">
        <v>-0.27200000000000002</v>
      </c>
      <c r="Q357" s="2">
        <v>-6.5</v>
      </c>
    </row>
    <row r="358" spans="1:17" x14ac:dyDescent="0.35">
      <c r="A358" s="2">
        <v>10</v>
      </c>
      <c r="B358" s="2">
        <v>15</v>
      </c>
      <c r="C358" s="2" t="s">
        <v>17</v>
      </c>
      <c r="D358" s="2">
        <v>4.6841999999999997</v>
      </c>
      <c r="E358" s="2">
        <v>0</v>
      </c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x14ac:dyDescent="0.35">
      <c r="A359" s="2">
        <v>10</v>
      </c>
      <c r="B359" s="2">
        <v>16</v>
      </c>
      <c r="C359" s="2" t="s">
        <v>17</v>
      </c>
      <c r="D359" s="2">
        <v>4.9474</v>
      </c>
      <c r="E359" s="2">
        <v>0</v>
      </c>
      <c r="F359" s="4" t="s">
        <v>18</v>
      </c>
      <c r="G359" s="2">
        <v>0.51</v>
      </c>
      <c r="H359" s="2">
        <v>640</v>
      </c>
      <c r="I359" s="2">
        <v>177</v>
      </c>
      <c r="J359" s="2">
        <v>4.4560000000000004</v>
      </c>
      <c r="K359" s="2">
        <v>4.5309999999999997</v>
      </c>
      <c r="L359" s="2">
        <v>4.6760000000000002</v>
      </c>
      <c r="M359" s="2">
        <v>4.6760000000000002</v>
      </c>
      <c r="N359" s="2">
        <v>0</v>
      </c>
      <c r="O359" s="2">
        <v>4.6840000000000002</v>
      </c>
      <c r="P359" s="2">
        <v>-8.0000000000000002E-3</v>
      </c>
      <c r="Q359" s="2">
        <v>-0.2</v>
      </c>
    </row>
    <row r="360" spans="1:17" x14ac:dyDescent="0.35">
      <c r="A360" s="2">
        <v>10</v>
      </c>
      <c r="B360" s="2">
        <v>17</v>
      </c>
      <c r="C360" s="2" t="s">
        <v>17</v>
      </c>
      <c r="D360" s="2">
        <v>5.2104999999999997</v>
      </c>
      <c r="E360" s="2">
        <v>0</v>
      </c>
      <c r="F360" s="4" t="s">
        <v>18</v>
      </c>
      <c r="G360" s="2">
        <v>0.52</v>
      </c>
      <c r="H360" s="2">
        <v>640</v>
      </c>
      <c r="I360" s="2">
        <v>173</v>
      </c>
      <c r="J360" s="2">
        <v>4.702</v>
      </c>
      <c r="K360" s="2">
        <v>4.7770000000000001</v>
      </c>
      <c r="L360" s="2">
        <v>4.9390000000000001</v>
      </c>
      <c r="M360" s="2">
        <v>4.9390000000000001</v>
      </c>
      <c r="N360" s="2">
        <v>0</v>
      </c>
      <c r="O360" s="2">
        <v>5.2110000000000003</v>
      </c>
      <c r="P360" s="2">
        <v>-0.27100000000000002</v>
      </c>
      <c r="Q360" s="2">
        <v>-5.2</v>
      </c>
    </row>
    <row r="361" spans="1:17" x14ac:dyDescent="0.35">
      <c r="A361" s="2">
        <v>10</v>
      </c>
      <c r="B361" s="2">
        <v>18</v>
      </c>
      <c r="C361" s="2" t="s">
        <v>17</v>
      </c>
      <c r="D361" s="2">
        <v>5.4737</v>
      </c>
      <c r="E361" s="2">
        <v>0</v>
      </c>
      <c r="F361" s="4" t="s">
        <v>18</v>
      </c>
      <c r="G361" s="2">
        <v>0.41</v>
      </c>
      <c r="H361" s="2">
        <v>640</v>
      </c>
      <c r="I361" s="2">
        <v>169</v>
      </c>
      <c r="J361" s="2">
        <v>4.9459999999999997</v>
      </c>
      <c r="K361" s="2">
        <v>5.0209999999999999</v>
      </c>
      <c r="L361" s="2">
        <v>5.2030000000000003</v>
      </c>
      <c r="M361" s="2">
        <v>5.2030000000000003</v>
      </c>
      <c r="N361" s="2">
        <v>0</v>
      </c>
      <c r="O361" s="2">
        <v>5.2110000000000003</v>
      </c>
      <c r="P361" s="2">
        <v>-8.0000000000000002E-3</v>
      </c>
      <c r="Q361" s="2">
        <v>-0.2</v>
      </c>
    </row>
    <row r="362" spans="1:17" x14ac:dyDescent="0.35">
      <c r="A362" s="2">
        <v>10</v>
      </c>
      <c r="B362" s="2">
        <v>19</v>
      </c>
      <c r="C362" s="2" t="s">
        <v>17</v>
      </c>
      <c r="D362" s="2">
        <v>5.7367999999999997</v>
      </c>
      <c r="E362" s="2">
        <v>0</v>
      </c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x14ac:dyDescent="0.35">
      <c r="A363" s="2">
        <v>10</v>
      </c>
      <c r="B363" s="2">
        <v>20</v>
      </c>
      <c r="C363" s="2" t="s">
        <v>17</v>
      </c>
      <c r="D363" s="2">
        <v>6</v>
      </c>
      <c r="E363" s="2">
        <v>0</v>
      </c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x14ac:dyDescent="0.35">
      <c r="A364" s="2">
        <v>10</v>
      </c>
      <c r="B364" s="2">
        <v>21</v>
      </c>
      <c r="C364" s="2" t="s">
        <v>19</v>
      </c>
      <c r="D364" s="2">
        <v>3</v>
      </c>
      <c r="E364" s="2">
        <v>-2.75</v>
      </c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x14ac:dyDescent="0.35">
      <c r="A365" s="2">
        <v>10</v>
      </c>
      <c r="B365" s="2">
        <v>22</v>
      </c>
      <c r="C365" s="2" t="s">
        <v>19</v>
      </c>
      <c r="D365" s="2">
        <v>3</v>
      </c>
      <c r="E365" s="2">
        <v>-2.4605000000000001</v>
      </c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x14ac:dyDescent="0.35">
      <c r="A366" s="2">
        <v>10</v>
      </c>
      <c r="B366" s="2">
        <v>23</v>
      </c>
      <c r="C366" s="2" t="s">
        <v>19</v>
      </c>
      <c r="D366" s="2">
        <v>3</v>
      </c>
      <c r="E366" s="2">
        <v>-2.1711</v>
      </c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x14ac:dyDescent="0.35">
      <c r="A367" s="2">
        <v>10</v>
      </c>
      <c r="B367" s="2">
        <v>24</v>
      </c>
      <c r="C367" s="2" t="s">
        <v>19</v>
      </c>
      <c r="D367" s="2">
        <v>3</v>
      </c>
      <c r="E367" s="2">
        <v>-1.8815999999999999</v>
      </c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x14ac:dyDescent="0.35">
      <c r="A368" s="2">
        <v>10</v>
      </c>
      <c r="B368" s="2">
        <v>25</v>
      </c>
      <c r="C368" s="2" t="s">
        <v>19</v>
      </c>
      <c r="D368" s="2">
        <v>3</v>
      </c>
      <c r="E368" s="2">
        <v>-1.5921000000000001</v>
      </c>
      <c r="F368" s="4" t="s">
        <v>18</v>
      </c>
      <c r="G368" s="2">
        <v>0.28000000000000003</v>
      </c>
      <c r="H368" s="2">
        <v>1068</v>
      </c>
      <c r="I368" s="2">
        <v>211</v>
      </c>
      <c r="J368" s="2">
        <v>2.8879999999999999</v>
      </c>
      <c r="K368" s="2">
        <v>2.9630000000000001</v>
      </c>
      <c r="L368" s="2">
        <v>3.5459999999999998</v>
      </c>
      <c r="M368" s="2">
        <v>3.0059999999999998</v>
      </c>
      <c r="N368" s="2">
        <v>-1.881</v>
      </c>
      <c r="O368" s="2">
        <v>3.3959999999999999</v>
      </c>
      <c r="P368" s="2">
        <v>0.15</v>
      </c>
      <c r="Q368" s="2">
        <v>4.4000000000000004</v>
      </c>
    </row>
    <row r="369" spans="1:17" x14ac:dyDescent="0.35">
      <c r="A369" s="2">
        <v>10</v>
      </c>
      <c r="B369" s="2">
        <v>26</v>
      </c>
      <c r="C369" s="2" t="s">
        <v>19</v>
      </c>
      <c r="D369" s="2">
        <v>3</v>
      </c>
      <c r="E369" s="2">
        <v>-1.3026</v>
      </c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x14ac:dyDescent="0.35">
      <c r="A370" s="2">
        <v>10</v>
      </c>
      <c r="B370" s="2">
        <v>27</v>
      </c>
      <c r="C370" s="2" t="s">
        <v>19</v>
      </c>
      <c r="D370" s="2">
        <v>3</v>
      </c>
      <c r="E370" s="2">
        <v>-1.0132000000000001</v>
      </c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x14ac:dyDescent="0.35">
      <c r="A371" s="2">
        <v>10</v>
      </c>
      <c r="B371" s="2">
        <v>28</v>
      </c>
      <c r="C371" s="2" t="s">
        <v>19</v>
      </c>
      <c r="D371" s="2">
        <v>3</v>
      </c>
      <c r="E371" s="2">
        <v>-0.72370000000000001</v>
      </c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x14ac:dyDescent="0.35">
      <c r="A372" s="2">
        <v>10</v>
      </c>
      <c r="B372" s="2">
        <v>29</v>
      </c>
      <c r="C372" s="2" t="s">
        <v>19</v>
      </c>
      <c r="D372" s="2">
        <v>3</v>
      </c>
      <c r="E372" s="2">
        <v>-0.43419999999999997</v>
      </c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x14ac:dyDescent="0.35">
      <c r="A373" s="2">
        <v>10</v>
      </c>
      <c r="B373" s="2">
        <v>30</v>
      </c>
      <c r="C373" s="2" t="s">
        <v>19</v>
      </c>
      <c r="D373" s="2">
        <v>3</v>
      </c>
      <c r="E373" s="2">
        <v>-0.1447</v>
      </c>
      <c r="F373" s="4" t="s">
        <v>18</v>
      </c>
      <c r="G373" s="2">
        <v>0.81</v>
      </c>
      <c r="H373" s="2">
        <v>739</v>
      </c>
      <c r="I373" s="2">
        <v>212</v>
      </c>
      <c r="J373" s="2">
        <v>2.875</v>
      </c>
      <c r="K373" s="2">
        <v>2.95</v>
      </c>
      <c r="L373" s="2">
        <v>3.0219999999999998</v>
      </c>
      <c r="M373" s="2">
        <v>2.9910000000000001</v>
      </c>
      <c r="N373" s="2">
        <v>-0.433</v>
      </c>
      <c r="O373" s="2">
        <v>3.0310000000000001</v>
      </c>
      <c r="P373" s="2">
        <v>-8.9999999999999993E-3</v>
      </c>
      <c r="Q373" s="2">
        <v>-0.3</v>
      </c>
    </row>
    <row r="374" spans="1:17" x14ac:dyDescent="0.35">
      <c r="A374" s="2">
        <v>10</v>
      </c>
      <c r="B374" s="2">
        <v>31</v>
      </c>
      <c r="C374" s="2" t="s">
        <v>19</v>
      </c>
      <c r="D374" s="2">
        <v>3</v>
      </c>
      <c r="E374" s="2">
        <v>0.1447</v>
      </c>
      <c r="F374" s="4" t="s">
        <v>18</v>
      </c>
      <c r="G374" s="2">
        <v>0.76</v>
      </c>
      <c r="H374" s="2">
        <v>673</v>
      </c>
      <c r="I374" s="2">
        <v>212</v>
      </c>
      <c r="J374" s="2">
        <v>2.8740000000000001</v>
      </c>
      <c r="K374" s="2">
        <v>2.9489999999999998</v>
      </c>
      <c r="L374" s="2">
        <v>2.9929999999999999</v>
      </c>
      <c r="M374" s="2">
        <v>2.99</v>
      </c>
      <c r="N374" s="2">
        <v>-0.14399999999999999</v>
      </c>
      <c r="O374" s="2">
        <v>3.0030000000000001</v>
      </c>
      <c r="P374" s="2">
        <v>-0.01</v>
      </c>
      <c r="Q374" s="2">
        <v>-0.3</v>
      </c>
    </row>
    <row r="375" spans="1:17" x14ac:dyDescent="0.35">
      <c r="A375" s="2">
        <v>10</v>
      </c>
      <c r="B375" s="2">
        <v>32</v>
      </c>
      <c r="C375" s="2" t="s">
        <v>19</v>
      </c>
      <c r="D375" s="2">
        <v>3</v>
      </c>
      <c r="E375" s="2">
        <v>0.43419999999999997</v>
      </c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x14ac:dyDescent="0.35">
      <c r="A376" s="2">
        <v>10</v>
      </c>
      <c r="B376" s="2">
        <v>33</v>
      </c>
      <c r="C376" s="2" t="s">
        <v>19</v>
      </c>
      <c r="D376" s="2">
        <v>3</v>
      </c>
      <c r="E376" s="2">
        <v>0.72370000000000001</v>
      </c>
      <c r="F376" s="4" t="s">
        <v>18</v>
      </c>
      <c r="G376" s="2">
        <v>0.78</v>
      </c>
      <c r="H376" s="2">
        <v>476</v>
      </c>
      <c r="I376" s="2">
        <v>211</v>
      </c>
      <c r="J376" s="2">
        <v>2.8769999999999998</v>
      </c>
      <c r="K376" s="2">
        <v>2.952</v>
      </c>
      <c r="L376" s="2">
        <v>3.0790000000000002</v>
      </c>
      <c r="M376" s="2">
        <v>2.9950000000000001</v>
      </c>
      <c r="N376" s="2">
        <v>0.71799999999999997</v>
      </c>
      <c r="O376" s="2">
        <v>3.0859999999999999</v>
      </c>
      <c r="P376" s="2">
        <v>-7.0000000000000001E-3</v>
      </c>
      <c r="Q376" s="2">
        <v>-0.2</v>
      </c>
    </row>
    <row r="377" spans="1:17" x14ac:dyDescent="0.35">
      <c r="A377" s="2">
        <v>10</v>
      </c>
      <c r="B377" s="2">
        <v>34</v>
      </c>
      <c r="C377" s="2" t="s">
        <v>19</v>
      </c>
      <c r="D377" s="2">
        <v>3</v>
      </c>
      <c r="E377" s="2">
        <v>1.0132000000000001</v>
      </c>
      <c r="F377" s="4" t="s">
        <v>18</v>
      </c>
      <c r="G377" s="2">
        <v>0.78</v>
      </c>
      <c r="H377" s="2">
        <v>476</v>
      </c>
      <c r="I377" s="2">
        <v>211</v>
      </c>
      <c r="J377" s="2">
        <v>2.8769999999999998</v>
      </c>
      <c r="K377" s="2">
        <v>2.952</v>
      </c>
      <c r="L377" s="2">
        <v>3.0790000000000002</v>
      </c>
      <c r="M377" s="2">
        <v>2.9950000000000001</v>
      </c>
      <c r="N377" s="2">
        <v>0.71799999999999997</v>
      </c>
      <c r="O377" s="2">
        <v>3.0859999999999999</v>
      </c>
      <c r="P377" s="2">
        <v>-7.0000000000000001E-3</v>
      </c>
      <c r="Q377" s="2">
        <v>-0.2</v>
      </c>
    </row>
    <row r="378" spans="1:17" x14ac:dyDescent="0.35">
      <c r="A378" s="2">
        <v>10</v>
      </c>
      <c r="B378" s="2">
        <v>35</v>
      </c>
      <c r="C378" s="2" t="s">
        <v>19</v>
      </c>
      <c r="D378" s="2">
        <v>3</v>
      </c>
      <c r="E378" s="2">
        <v>1.3026</v>
      </c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x14ac:dyDescent="0.35">
      <c r="A379" s="2">
        <v>10</v>
      </c>
      <c r="B379" s="2">
        <v>36</v>
      </c>
      <c r="C379" s="2" t="s">
        <v>19</v>
      </c>
      <c r="D379" s="2">
        <v>3</v>
      </c>
      <c r="E379" s="2">
        <v>1.5921000000000001</v>
      </c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x14ac:dyDescent="0.35">
      <c r="A380" s="2">
        <v>10</v>
      </c>
      <c r="B380" s="2">
        <v>37</v>
      </c>
      <c r="C380" s="2" t="s">
        <v>19</v>
      </c>
      <c r="D380" s="2">
        <v>3</v>
      </c>
      <c r="E380" s="2">
        <v>1.8815999999999999</v>
      </c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x14ac:dyDescent="0.35">
      <c r="A381" s="2">
        <v>10</v>
      </c>
      <c r="B381" s="2">
        <v>38</v>
      </c>
      <c r="C381" s="2" t="s">
        <v>19</v>
      </c>
      <c r="D381" s="2">
        <v>3</v>
      </c>
      <c r="E381" s="2">
        <v>2.1711</v>
      </c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x14ac:dyDescent="0.35">
      <c r="A382" s="2">
        <v>10</v>
      </c>
      <c r="B382" s="2">
        <v>39</v>
      </c>
      <c r="C382" s="2" t="s">
        <v>19</v>
      </c>
      <c r="D382" s="2">
        <v>3</v>
      </c>
      <c r="E382" s="2">
        <v>2.4605000000000001</v>
      </c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x14ac:dyDescent="0.35">
      <c r="A383" s="2">
        <v>10</v>
      </c>
      <c r="B383" s="2">
        <v>40</v>
      </c>
      <c r="C383" s="2" t="s">
        <v>19</v>
      </c>
      <c r="D383" s="2">
        <v>3</v>
      </c>
      <c r="E383" s="2">
        <v>2.75</v>
      </c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1"/>
  <sheetViews>
    <sheetView workbookViewId="0">
      <pane ySplit="1" topLeftCell="A161" activePane="bottomLeft" state="frozen"/>
      <selection pane="bottomLeft" activeCell="T152" sqref="T152"/>
    </sheetView>
  </sheetViews>
  <sheetFormatPr defaultRowHeight="14.5" x14ac:dyDescent="0.35"/>
  <cols>
    <col min="1" max="1" width="8" customWidth="1"/>
    <col min="2" max="2" width="22" customWidth="1"/>
    <col min="3" max="3" width="8" customWidth="1"/>
    <col min="4" max="4" width="9" customWidth="1"/>
    <col min="5" max="5" width="11" customWidth="1"/>
    <col min="6" max="6" width="12" customWidth="1"/>
    <col min="7" max="8" width="9" customWidth="1"/>
    <col min="9" max="9" width="17" customWidth="1"/>
    <col min="10" max="10" width="16" customWidth="1"/>
    <col min="11" max="11" width="20" customWidth="1"/>
    <col min="12" max="13" width="21" customWidth="1"/>
    <col min="14" max="14" width="16" customWidth="1"/>
    <col min="15" max="15" width="9" customWidth="1"/>
    <col min="16" max="16" width="11" customWidth="1"/>
  </cols>
  <sheetData>
    <row r="1" spans="1:1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35">
      <c r="A2" s="2">
        <v>1</v>
      </c>
      <c r="B2" s="2" t="s">
        <v>20</v>
      </c>
      <c r="C2" s="2">
        <v>1</v>
      </c>
      <c r="D2" s="2">
        <v>0</v>
      </c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35">
      <c r="A3" s="2">
        <v>2</v>
      </c>
      <c r="B3" s="2" t="s">
        <v>20</v>
      </c>
      <c r="C3" s="2">
        <v>1.0505</v>
      </c>
      <c r="D3" s="2">
        <v>0</v>
      </c>
      <c r="E3" s="4" t="s">
        <v>18</v>
      </c>
      <c r="F3" s="2">
        <v>0.81</v>
      </c>
      <c r="G3" s="2">
        <v>640</v>
      </c>
      <c r="H3" s="2">
        <v>395</v>
      </c>
      <c r="I3" s="2">
        <v>0.99299999999999999</v>
      </c>
      <c r="J3" s="2">
        <v>1.0680000000000001</v>
      </c>
      <c r="K3" s="2">
        <v>0.98199999999999998</v>
      </c>
      <c r="L3" s="2">
        <v>0.98199999999999998</v>
      </c>
      <c r="M3" s="2">
        <v>0</v>
      </c>
      <c r="N3" s="2">
        <v>1</v>
      </c>
      <c r="O3" s="2">
        <v>-1.7999999999999999E-2</v>
      </c>
      <c r="P3" s="2">
        <v>-1.8</v>
      </c>
    </row>
    <row r="4" spans="1:16" x14ac:dyDescent="0.35">
      <c r="A4" s="2">
        <v>3</v>
      </c>
      <c r="B4" s="2" t="s">
        <v>20</v>
      </c>
      <c r="C4" s="2">
        <v>1.101</v>
      </c>
      <c r="D4" s="2">
        <v>0</v>
      </c>
      <c r="E4" s="4" t="s">
        <v>18</v>
      </c>
      <c r="F4" s="2">
        <v>0.88</v>
      </c>
      <c r="G4" s="2">
        <v>640</v>
      </c>
      <c r="H4" s="2">
        <v>384</v>
      </c>
      <c r="I4" s="2">
        <v>1.0409999999999999</v>
      </c>
      <c r="J4" s="2">
        <v>1.1160000000000001</v>
      </c>
      <c r="K4" s="2">
        <v>1.0329999999999999</v>
      </c>
      <c r="L4" s="2">
        <v>1.0329999999999999</v>
      </c>
      <c r="M4" s="2">
        <v>0</v>
      </c>
      <c r="N4" s="2">
        <v>1</v>
      </c>
      <c r="O4" s="2">
        <v>3.3000000000000002E-2</v>
      </c>
      <c r="P4" s="2">
        <v>3.3</v>
      </c>
    </row>
    <row r="5" spans="1:16" x14ac:dyDescent="0.35">
      <c r="A5" s="2">
        <v>4</v>
      </c>
      <c r="B5" s="2" t="s">
        <v>20</v>
      </c>
      <c r="C5" s="2">
        <v>1.1515</v>
      </c>
      <c r="D5" s="2">
        <v>0</v>
      </c>
      <c r="E5" s="4" t="s">
        <v>18</v>
      </c>
      <c r="F5" s="2">
        <v>0.88</v>
      </c>
      <c r="G5" s="2">
        <v>640</v>
      </c>
      <c r="H5" s="2">
        <v>372</v>
      </c>
      <c r="I5" s="2">
        <v>1.089</v>
      </c>
      <c r="J5" s="2">
        <v>1.1639999999999999</v>
      </c>
      <c r="K5" s="2">
        <v>1.0840000000000001</v>
      </c>
      <c r="L5" s="2">
        <v>1.0840000000000001</v>
      </c>
      <c r="M5" s="2">
        <v>0</v>
      </c>
      <c r="N5" s="2">
        <v>1.101</v>
      </c>
      <c r="O5" s="2">
        <v>-1.7000000000000001E-2</v>
      </c>
      <c r="P5" s="2">
        <v>-1.5</v>
      </c>
    </row>
    <row r="6" spans="1:16" x14ac:dyDescent="0.35">
      <c r="A6" s="2">
        <v>5</v>
      </c>
      <c r="B6" s="2" t="s">
        <v>20</v>
      </c>
      <c r="C6" s="2">
        <v>1.202</v>
      </c>
      <c r="D6" s="2">
        <v>0</v>
      </c>
      <c r="E6" s="4" t="s">
        <v>18</v>
      </c>
      <c r="F6" s="2">
        <v>0.88</v>
      </c>
      <c r="G6" s="2">
        <v>640</v>
      </c>
      <c r="H6" s="2">
        <v>351</v>
      </c>
      <c r="I6" s="2">
        <v>1.1839999999999999</v>
      </c>
      <c r="J6" s="2">
        <v>1.2589999999999999</v>
      </c>
      <c r="K6" s="2">
        <v>1.1859999999999999</v>
      </c>
      <c r="L6" s="2">
        <v>1.1859999999999999</v>
      </c>
      <c r="M6" s="2">
        <v>0</v>
      </c>
      <c r="N6" s="2">
        <v>1.202</v>
      </c>
      <c r="O6" s="2">
        <v>-1.6E-2</v>
      </c>
      <c r="P6" s="2">
        <v>-1.3</v>
      </c>
    </row>
    <row r="7" spans="1:16" x14ac:dyDescent="0.35">
      <c r="A7" s="2">
        <v>6</v>
      </c>
      <c r="B7" s="2" t="s">
        <v>20</v>
      </c>
      <c r="C7" s="2">
        <v>1.2524999999999999</v>
      </c>
      <c r="D7" s="2">
        <v>0</v>
      </c>
      <c r="E7" s="4" t="s">
        <v>18</v>
      </c>
      <c r="F7" s="2">
        <v>0.88</v>
      </c>
      <c r="G7" s="2">
        <v>640</v>
      </c>
      <c r="H7" s="2">
        <v>351</v>
      </c>
      <c r="I7" s="2">
        <v>1.1839999999999999</v>
      </c>
      <c r="J7" s="2">
        <v>1.2589999999999999</v>
      </c>
      <c r="K7" s="2">
        <v>1.1859999999999999</v>
      </c>
      <c r="L7" s="2">
        <v>1.1859999999999999</v>
      </c>
      <c r="M7" s="2">
        <v>0</v>
      </c>
      <c r="N7" s="2">
        <v>1.2529999999999999</v>
      </c>
      <c r="O7" s="2">
        <v>-6.7000000000000004E-2</v>
      </c>
      <c r="P7" s="2">
        <v>-5.3</v>
      </c>
    </row>
    <row r="8" spans="1:16" x14ac:dyDescent="0.35">
      <c r="A8" s="2">
        <v>7</v>
      </c>
      <c r="B8" s="2" t="s">
        <v>20</v>
      </c>
      <c r="C8" s="2">
        <v>1.3029999999999999</v>
      </c>
      <c r="D8" s="2">
        <v>0</v>
      </c>
      <c r="E8" s="4" t="s">
        <v>18</v>
      </c>
      <c r="F8" s="2">
        <v>0.89</v>
      </c>
      <c r="G8" s="2">
        <v>640</v>
      </c>
      <c r="H8" s="2">
        <v>335</v>
      </c>
      <c r="I8" s="2">
        <v>1.28</v>
      </c>
      <c r="J8" s="2">
        <v>1.355</v>
      </c>
      <c r="K8" s="2">
        <v>1.288</v>
      </c>
      <c r="L8" s="2">
        <v>1.288</v>
      </c>
      <c r="M8" s="2">
        <v>0</v>
      </c>
      <c r="N8" s="2">
        <v>1.3029999999999999</v>
      </c>
      <c r="O8" s="2">
        <v>-1.4999999999999999E-2</v>
      </c>
      <c r="P8" s="2">
        <v>-1.2</v>
      </c>
    </row>
    <row r="9" spans="1:16" x14ac:dyDescent="0.35">
      <c r="A9" s="2">
        <v>8</v>
      </c>
      <c r="B9" s="2" t="s">
        <v>20</v>
      </c>
      <c r="C9" s="2">
        <v>1.3534999999999999</v>
      </c>
      <c r="D9" s="2">
        <v>0</v>
      </c>
      <c r="E9" s="4" t="s">
        <v>18</v>
      </c>
      <c r="F9" s="2">
        <v>0.88</v>
      </c>
      <c r="G9" s="2">
        <v>640</v>
      </c>
      <c r="H9" s="2">
        <v>326</v>
      </c>
      <c r="I9" s="2">
        <v>1.3260000000000001</v>
      </c>
      <c r="J9" s="2">
        <v>1.401</v>
      </c>
      <c r="K9" s="2">
        <v>1.3380000000000001</v>
      </c>
      <c r="L9" s="2">
        <v>1.3380000000000001</v>
      </c>
      <c r="M9" s="2">
        <v>0</v>
      </c>
      <c r="N9" s="2">
        <v>1.3540000000000001</v>
      </c>
      <c r="O9" s="2">
        <v>-1.4999999999999999E-2</v>
      </c>
      <c r="P9" s="2">
        <v>-1.1000000000000001</v>
      </c>
    </row>
    <row r="10" spans="1:16" x14ac:dyDescent="0.35">
      <c r="A10" s="2">
        <v>9</v>
      </c>
      <c r="B10" s="2" t="s">
        <v>20</v>
      </c>
      <c r="C10" s="2">
        <v>1.4039999999999999</v>
      </c>
      <c r="D10" s="2">
        <v>0</v>
      </c>
      <c r="E10" s="4" t="s">
        <v>18</v>
      </c>
      <c r="F10" s="2">
        <v>0.8</v>
      </c>
      <c r="G10" s="2">
        <v>640</v>
      </c>
      <c r="H10" s="2">
        <v>320</v>
      </c>
      <c r="I10" s="2">
        <v>1.375</v>
      </c>
      <c r="J10" s="2">
        <v>1.45</v>
      </c>
      <c r="K10" s="2">
        <v>1.389</v>
      </c>
      <c r="L10" s="2">
        <v>1.389</v>
      </c>
      <c r="M10" s="2">
        <v>0</v>
      </c>
      <c r="N10" s="2">
        <v>1.4039999999999999</v>
      </c>
      <c r="O10" s="2">
        <v>-1.4999999999999999E-2</v>
      </c>
      <c r="P10" s="2">
        <v>-1.1000000000000001</v>
      </c>
    </row>
    <row r="11" spans="1:16" x14ac:dyDescent="0.35">
      <c r="A11" s="2">
        <v>10</v>
      </c>
      <c r="B11" s="2" t="s">
        <v>20</v>
      </c>
      <c r="C11" s="2">
        <v>1.4544999999999999</v>
      </c>
      <c r="D11" s="2">
        <v>0</v>
      </c>
      <c r="E11" s="4" t="s">
        <v>18</v>
      </c>
      <c r="F11" s="2">
        <v>0.8</v>
      </c>
      <c r="G11" s="2">
        <v>640</v>
      </c>
      <c r="H11" s="2">
        <v>320</v>
      </c>
      <c r="I11" s="2">
        <v>1.375</v>
      </c>
      <c r="J11" s="2">
        <v>1.45</v>
      </c>
      <c r="K11" s="2">
        <v>1.389</v>
      </c>
      <c r="L11" s="2">
        <v>1.389</v>
      </c>
      <c r="M11" s="2">
        <v>0</v>
      </c>
      <c r="N11" s="2">
        <v>1.4039999999999999</v>
      </c>
      <c r="O11" s="2">
        <v>-1.4999999999999999E-2</v>
      </c>
      <c r="P11" s="2">
        <v>-1.1000000000000001</v>
      </c>
    </row>
    <row r="12" spans="1:16" x14ac:dyDescent="0.35">
      <c r="A12" s="2">
        <v>11</v>
      </c>
      <c r="B12" s="2" t="s">
        <v>20</v>
      </c>
      <c r="C12" s="2">
        <v>1.5051000000000001</v>
      </c>
      <c r="D12" s="2">
        <v>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12</v>
      </c>
      <c r="B13" s="2" t="s">
        <v>20</v>
      </c>
      <c r="C13" s="2">
        <v>1.5556000000000001</v>
      </c>
      <c r="D13" s="2">
        <v>0</v>
      </c>
      <c r="E13" s="4" t="s">
        <v>18</v>
      </c>
      <c r="F13" s="2">
        <v>0.87</v>
      </c>
      <c r="G13" s="2">
        <v>640</v>
      </c>
      <c r="H13" s="2">
        <v>301</v>
      </c>
      <c r="I13" s="2">
        <v>1.5169999999999999</v>
      </c>
      <c r="J13" s="2">
        <v>1.5920000000000001</v>
      </c>
      <c r="K13" s="2">
        <v>1.542</v>
      </c>
      <c r="L13" s="2">
        <v>1.542</v>
      </c>
      <c r="M13" s="2">
        <v>0</v>
      </c>
      <c r="N13" s="2">
        <v>1.556</v>
      </c>
      <c r="O13" s="2">
        <v>-1.4E-2</v>
      </c>
      <c r="P13" s="2">
        <v>-0.9</v>
      </c>
    </row>
    <row r="14" spans="1:16" x14ac:dyDescent="0.35">
      <c r="A14" s="2">
        <v>13</v>
      </c>
      <c r="B14" s="2" t="s">
        <v>20</v>
      </c>
      <c r="C14" s="2">
        <v>1.6061000000000001</v>
      </c>
      <c r="D14" s="2">
        <v>0</v>
      </c>
      <c r="E14" s="4" t="s">
        <v>18</v>
      </c>
      <c r="F14" s="2">
        <v>0.87</v>
      </c>
      <c r="G14" s="2">
        <v>640</v>
      </c>
      <c r="H14" s="2">
        <v>296</v>
      </c>
      <c r="I14" s="2">
        <v>1.5649999999999999</v>
      </c>
      <c r="J14" s="2">
        <v>1.64</v>
      </c>
      <c r="K14" s="2">
        <v>1.5920000000000001</v>
      </c>
      <c r="L14" s="2">
        <v>1.5920000000000001</v>
      </c>
      <c r="M14" s="2">
        <v>0</v>
      </c>
      <c r="N14" s="2">
        <v>1.556</v>
      </c>
      <c r="O14" s="2">
        <v>3.6999999999999998E-2</v>
      </c>
      <c r="P14" s="2">
        <v>2.4</v>
      </c>
    </row>
    <row r="15" spans="1:16" x14ac:dyDescent="0.35">
      <c r="A15" s="2">
        <v>14</v>
      </c>
      <c r="B15" s="2" t="s">
        <v>20</v>
      </c>
      <c r="C15" s="2">
        <v>1.6566000000000001</v>
      </c>
      <c r="D15" s="2">
        <v>0</v>
      </c>
      <c r="E15" s="4" t="s">
        <v>18</v>
      </c>
      <c r="F15" s="2">
        <v>0.87</v>
      </c>
      <c r="G15" s="2">
        <v>640</v>
      </c>
      <c r="H15" s="2">
        <v>296</v>
      </c>
      <c r="I15" s="2">
        <v>1.5649999999999999</v>
      </c>
      <c r="J15" s="2">
        <v>1.64</v>
      </c>
      <c r="K15" s="2">
        <v>1.5920000000000001</v>
      </c>
      <c r="L15" s="2">
        <v>1.5920000000000001</v>
      </c>
      <c r="M15" s="2">
        <v>0</v>
      </c>
      <c r="N15" s="2">
        <v>1.657</v>
      </c>
      <c r="O15" s="2">
        <v>-6.4000000000000001E-2</v>
      </c>
      <c r="P15" s="2">
        <v>-3.9</v>
      </c>
    </row>
    <row r="16" spans="1:16" x14ac:dyDescent="0.35">
      <c r="A16" s="2">
        <v>15</v>
      </c>
      <c r="B16" s="2" t="s">
        <v>20</v>
      </c>
      <c r="C16" s="2">
        <v>1.7071000000000001</v>
      </c>
      <c r="D16" s="2">
        <v>0</v>
      </c>
      <c r="E16" s="4" t="s">
        <v>18</v>
      </c>
      <c r="F16" s="2">
        <v>0.88</v>
      </c>
      <c r="G16" s="2">
        <v>639</v>
      </c>
      <c r="H16" s="2">
        <v>290</v>
      </c>
      <c r="I16" s="2">
        <v>1.6120000000000001</v>
      </c>
      <c r="J16" s="2">
        <v>1.6870000000000001</v>
      </c>
      <c r="K16" s="2">
        <v>1.643</v>
      </c>
      <c r="L16" s="2">
        <v>1.643</v>
      </c>
      <c r="M16" s="2">
        <v>3.0000000000000001E-3</v>
      </c>
      <c r="N16" s="2">
        <v>1.7070000000000001</v>
      </c>
      <c r="O16" s="2">
        <v>-6.4000000000000001E-2</v>
      </c>
      <c r="P16" s="2">
        <v>-3.8</v>
      </c>
    </row>
    <row r="17" spans="1:16" x14ac:dyDescent="0.35">
      <c r="A17" s="2">
        <v>16</v>
      </c>
      <c r="B17" s="2" t="s">
        <v>20</v>
      </c>
      <c r="C17" s="2">
        <v>1.7576000000000001</v>
      </c>
      <c r="D17" s="2">
        <v>0</v>
      </c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17</v>
      </c>
      <c r="B18" s="2" t="s">
        <v>20</v>
      </c>
      <c r="C18" s="2">
        <v>1.8081</v>
      </c>
      <c r="D18" s="2">
        <v>0</v>
      </c>
      <c r="E18" s="4" t="s">
        <v>18</v>
      </c>
      <c r="F18" s="2">
        <v>0.87</v>
      </c>
      <c r="G18" s="2">
        <v>639</v>
      </c>
      <c r="H18" s="2">
        <v>280</v>
      </c>
      <c r="I18" s="2">
        <v>1.7070000000000001</v>
      </c>
      <c r="J18" s="2">
        <v>1.782</v>
      </c>
      <c r="K18" s="2">
        <v>1.744</v>
      </c>
      <c r="L18" s="2">
        <v>1.744</v>
      </c>
      <c r="M18" s="2">
        <v>3.0000000000000001E-3</v>
      </c>
      <c r="N18" s="2">
        <v>1.758</v>
      </c>
      <c r="O18" s="2">
        <v>-1.2999999999999999E-2</v>
      </c>
      <c r="P18" s="2">
        <v>-0.8</v>
      </c>
    </row>
    <row r="19" spans="1:16" x14ac:dyDescent="0.35">
      <c r="A19" s="2">
        <v>18</v>
      </c>
      <c r="B19" s="2" t="s">
        <v>20</v>
      </c>
      <c r="C19" s="2">
        <v>1.8586</v>
      </c>
      <c r="D19" s="2">
        <v>0</v>
      </c>
      <c r="E19" s="4" t="s">
        <v>18</v>
      </c>
      <c r="F19" s="2">
        <v>0.83</v>
      </c>
      <c r="G19" s="2">
        <v>640</v>
      </c>
      <c r="H19" s="2">
        <v>276</v>
      </c>
      <c r="I19" s="2">
        <v>1.7549999999999999</v>
      </c>
      <c r="J19" s="2">
        <v>1.83</v>
      </c>
      <c r="K19" s="2">
        <v>1.7949999999999999</v>
      </c>
      <c r="L19" s="2">
        <v>1.7949999999999999</v>
      </c>
      <c r="M19" s="2">
        <v>0</v>
      </c>
      <c r="N19" s="2">
        <v>1.8080000000000001</v>
      </c>
      <c r="O19" s="2">
        <v>-1.2999999999999999E-2</v>
      </c>
      <c r="P19" s="2">
        <v>-0.7</v>
      </c>
    </row>
    <row r="20" spans="1:16" x14ac:dyDescent="0.35">
      <c r="A20" s="2">
        <v>19</v>
      </c>
      <c r="B20" s="2" t="s">
        <v>20</v>
      </c>
      <c r="C20" s="2">
        <v>1.9091</v>
      </c>
      <c r="D20" s="2">
        <v>0</v>
      </c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20</v>
      </c>
      <c r="B21" s="2" t="s">
        <v>20</v>
      </c>
      <c r="C21" s="2">
        <v>1.9596</v>
      </c>
      <c r="D21" s="2">
        <v>0</v>
      </c>
      <c r="E21" s="4" t="s">
        <v>18</v>
      </c>
      <c r="F21" s="2">
        <v>0.84</v>
      </c>
      <c r="G21" s="2">
        <v>639</v>
      </c>
      <c r="H21" s="2">
        <v>264</v>
      </c>
      <c r="I21" s="2">
        <v>1.897</v>
      </c>
      <c r="J21" s="2">
        <v>1.972</v>
      </c>
      <c r="K21" s="2">
        <v>1.9470000000000001</v>
      </c>
      <c r="L21" s="2">
        <v>1.9470000000000001</v>
      </c>
      <c r="M21" s="2">
        <v>3.0000000000000001E-3</v>
      </c>
      <c r="N21" s="2">
        <v>1.96</v>
      </c>
      <c r="O21" s="2">
        <v>-1.2999999999999999E-2</v>
      </c>
      <c r="P21" s="2">
        <v>-0.6</v>
      </c>
    </row>
    <row r="22" spans="1:16" x14ac:dyDescent="0.35">
      <c r="A22" s="2">
        <v>21</v>
      </c>
      <c r="B22" s="2" t="s">
        <v>20</v>
      </c>
      <c r="C22" s="2">
        <v>2.0101</v>
      </c>
      <c r="D22" s="2">
        <v>0</v>
      </c>
      <c r="E22" s="4" t="s">
        <v>18</v>
      </c>
      <c r="F22" s="2">
        <v>0.84</v>
      </c>
      <c r="G22" s="2">
        <v>639</v>
      </c>
      <c r="H22" s="2">
        <v>264</v>
      </c>
      <c r="I22" s="2">
        <v>1.897</v>
      </c>
      <c r="J22" s="2">
        <v>1.972</v>
      </c>
      <c r="K22" s="2">
        <v>1.9470000000000001</v>
      </c>
      <c r="L22" s="2">
        <v>1.9470000000000001</v>
      </c>
      <c r="M22" s="2">
        <v>3.0000000000000001E-3</v>
      </c>
      <c r="N22" s="2">
        <v>1.96</v>
      </c>
      <c r="O22" s="2">
        <v>-1.2999999999999999E-2</v>
      </c>
      <c r="P22" s="2">
        <v>-0.6</v>
      </c>
    </row>
    <row r="23" spans="1:16" x14ac:dyDescent="0.35">
      <c r="A23" s="2">
        <v>22</v>
      </c>
      <c r="B23" s="2" t="s">
        <v>20</v>
      </c>
      <c r="C23" s="2">
        <v>2.0606</v>
      </c>
      <c r="D23" s="2">
        <v>0</v>
      </c>
      <c r="E23" s="4" t="s">
        <v>18</v>
      </c>
      <c r="F23" s="2">
        <v>0.82</v>
      </c>
      <c r="G23" s="2">
        <v>639</v>
      </c>
      <c r="H23" s="2">
        <v>259</v>
      </c>
      <c r="I23" s="2">
        <v>1.944</v>
      </c>
      <c r="J23" s="2">
        <v>2.0190000000000001</v>
      </c>
      <c r="K23" s="2">
        <v>1.998</v>
      </c>
      <c r="L23" s="2">
        <v>1.998</v>
      </c>
      <c r="M23" s="2">
        <v>3.0000000000000001E-3</v>
      </c>
      <c r="N23" s="2">
        <v>2.0099999999999998</v>
      </c>
      <c r="O23" s="2">
        <v>-1.2E-2</v>
      </c>
      <c r="P23" s="2">
        <v>-0.6</v>
      </c>
    </row>
    <row r="24" spans="1:16" x14ac:dyDescent="0.35">
      <c r="A24" s="2">
        <v>23</v>
      </c>
      <c r="B24" s="2" t="s">
        <v>20</v>
      </c>
      <c r="C24" s="2">
        <v>2.1111</v>
      </c>
      <c r="D24" s="2">
        <v>0</v>
      </c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24</v>
      </c>
      <c r="B25" s="2" t="s">
        <v>20</v>
      </c>
      <c r="C25" s="2">
        <v>2.1616</v>
      </c>
      <c r="D25" s="2">
        <v>0</v>
      </c>
      <c r="E25" s="4" t="s">
        <v>18</v>
      </c>
      <c r="F25" s="2">
        <v>0.87</v>
      </c>
      <c r="G25" s="2">
        <v>639</v>
      </c>
      <c r="H25" s="2">
        <v>254</v>
      </c>
      <c r="I25" s="2">
        <v>2.0910000000000002</v>
      </c>
      <c r="J25" s="2">
        <v>2.1659999999999999</v>
      </c>
      <c r="K25" s="2">
        <v>2.15</v>
      </c>
      <c r="L25" s="2">
        <v>2.15</v>
      </c>
      <c r="M25" s="2">
        <v>3.0000000000000001E-3</v>
      </c>
      <c r="N25" s="2">
        <v>2.1619999999999999</v>
      </c>
      <c r="O25" s="2">
        <v>-1.2E-2</v>
      </c>
      <c r="P25" s="2">
        <v>-0.6</v>
      </c>
    </row>
    <row r="26" spans="1:16" x14ac:dyDescent="0.35">
      <c r="A26" s="2">
        <v>25</v>
      </c>
      <c r="B26" s="2" t="s">
        <v>20</v>
      </c>
      <c r="C26" s="2">
        <v>2.2121</v>
      </c>
      <c r="D26" s="2">
        <v>0</v>
      </c>
      <c r="E26" s="4" t="s">
        <v>18</v>
      </c>
      <c r="F26" s="2">
        <v>0.8</v>
      </c>
      <c r="G26" s="2">
        <v>639</v>
      </c>
      <c r="H26" s="2">
        <v>247</v>
      </c>
      <c r="I26" s="2">
        <v>2.1339999999999999</v>
      </c>
      <c r="J26" s="2">
        <v>2.2090000000000001</v>
      </c>
      <c r="K26" s="2">
        <v>2.2000000000000002</v>
      </c>
      <c r="L26" s="2">
        <v>2.2000000000000002</v>
      </c>
      <c r="M26" s="2">
        <v>3.0000000000000001E-3</v>
      </c>
      <c r="N26" s="2">
        <v>2.2120000000000002</v>
      </c>
      <c r="O26" s="2">
        <v>-1.2E-2</v>
      </c>
      <c r="P26" s="2">
        <v>-0.5</v>
      </c>
    </row>
    <row r="27" spans="1:16" x14ac:dyDescent="0.35">
      <c r="A27" s="2">
        <v>26</v>
      </c>
      <c r="B27" s="2" t="s">
        <v>20</v>
      </c>
      <c r="C27" s="2">
        <v>2.2625999999999999</v>
      </c>
      <c r="D27" s="2">
        <v>0</v>
      </c>
      <c r="E27" s="4" t="s">
        <v>18</v>
      </c>
      <c r="F27" s="2">
        <v>0.8</v>
      </c>
      <c r="G27" s="2">
        <v>639</v>
      </c>
      <c r="H27" s="2">
        <v>247</v>
      </c>
      <c r="I27" s="2">
        <v>2.1339999999999999</v>
      </c>
      <c r="J27" s="2">
        <v>2.2090000000000001</v>
      </c>
      <c r="K27" s="2">
        <v>2.2000000000000002</v>
      </c>
      <c r="L27" s="2">
        <v>2.2000000000000002</v>
      </c>
      <c r="M27" s="2">
        <v>3.0000000000000001E-3</v>
      </c>
      <c r="N27" s="2">
        <v>2.2629999999999999</v>
      </c>
      <c r="O27" s="2">
        <v>-6.2E-2</v>
      </c>
      <c r="P27" s="2">
        <v>-2.8</v>
      </c>
    </row>
    <row r="28" spans="1:16" x14ac:dyDescent="0.35">
      <c r="A28" s="2">
        <v>27</v>
      </c>
      <c r="B28" s="2" t="s">
        <v>20</v>
      </c>
      <c r="C28" s="2">
        <v>2.3130999999999999</v>
      </c>
      <c r="D28" s="2">
        <v>0</v>
      </c>
      <c r="E28" s="4" t="s">
        <v>18</v>
      </c>
      <c r="F28" s="2">
        <v>0.74</v>
      </c>
      <c r="G28" s="2">
        <v>639</v>
      </c>
      <c r="H28" s="2">
        <v>244</v>
      </c>
      <c r="I28" s="2">
        <v>2.1819999999999999</v>
      </c>
      <c r="J28" s="2">
        <v>2.2570000000000001</v>
      </c>
      <c r="K28" s="2">
        <v>2.2509999999999999</v>
      </c>
      <c r="L28" s="2">
        <v>2.2509999999999999</v>
      </c>
      <c r="M28" s="2">
        <v>3.0000000000000001E-3</v>
      </c>
      <c r="N28" s="2">
        <v>2.2629999999999999</v>
      </c>
      <c r="O28" s="2">
        <v>-1.2E-2</v>
      </c>
      <c r="P28" s="2">
        <v>-0.5</v>
      </c>
    </row>
    <row r="29" spans="1:16" x14ac:dyDescent="0.35">
      <c r="A29" s="2">
        <v>28</v>
      </c>
      <c r="B29" s="2" t="s">
        <v>20</v>
      </c>
      <c r="C29" s="2">
        <v>2.3635999999999999</v>
      </c>
      <c r="D29" s="2">
        <v>0</v>
      </c>
      <c r="E29" s="4" t="s">
        <v>18</v>
      </c>
      <c r="F29" s="2">
        <v>0.45</v>
      </c>
      <c r="G29" s="2">
        <v>639</v>
      </c>
      <c r="H29" s="2">
        <v>239</v>
      </c>
      <c r="I29" s="2">
        <v>2.2770000000000001</v>
      </c>
      <c r="J29" s="2">
        <v>2.3519999999999999</v>
      </c>
      <c r="K29" s="2">
        <v>2.3519999999999999</v>
      </c>
      <c r="L29" s="2">
        <v>2.3519999999999999</v>
      </c>
      <c r="M29" s="2">
        <v>3.0000000000000001E-3</v>
      </c>
      <c r="N29" s="2">
        <v>2.3639999999999999</v>
      </c>
      <c r="O29" s="2">
        <v>-1.0999999999999999E-2</v>
      </c>
      <c r="P29" s="2">
        <v>-0.5</v>
      </c>
    </row>
    <row r="30" spans="1:16" x14ac:dyDescent="0.35">
      <c r="A30" s="2">
        <v>29</v>
      </c>
      <c r="B30" s="2" t="s">
        <v>20</v>
      </c>
      <c r="C30" s="2">
        <v>2.4140999999999999</v>
      </c>
      <c r="D30" s="2">
        <v>0</v>
      </c>
      <c r="E30" s="4" t="s">
        <v>18</v>
      </c>
      <c r="F30" s="2">
        <v>0.41</v>
      </c>
      <c r="G30" s="2">
        <v>639</v>
      </c>
      <c r="H30" s="2">
        <v>236</v>
      </c>
      <c r="I30" s="2">
        <v>2.3239999999999998</v>
      </c>
      <c r="J30" s="2">
        <v>2.399</v>
      </c>
      <c r="K30" s="2">
        <v>2.403</v>
      </c>
      <c r="L30" s="2">
        <v>2.403</v>
      </c>
      <c r="M30" s="2">
        <v>4.0000000000000001E-3</v>
      </c>
      <c r="N30" s="2">
        <v>2.4140000000000001</v>
      </c>
      <c r="O30" s="2">
        <v>-1.0999999999999999E-2</v>
      </c>
      <c r="P30" s="2">
        <v>-0.5</v>
      </c>
    </row>
    <row r="31" spans="1:16" x14ac:dyDescent="0.35">
      <c r="A31" s="2">
        <v>30</v>
      </c>
      <c r="B31" s="2" t="s">
        <v>20</v>
      </c>
      <c r="C31" s="2">
        <v>2.4645999999999999</v>
      </c>
      <c r="D31" s="2">
        <v>0</v>
      </c>
      <c r="E31" s="4" t="s">
        <v>18</v>
      </c>
      <c r="F31" s="2">
        <v>0.41</v>
      </c>
      <c r="G31" s="2">
        <v>639</v>
      </c>
      <c r="H31" s="2">
        <v>236</v>
      </c>
      <c r="I31" s="2">
        <v>2.3239999999999998</v>
      </c>
      <c r="J31" s="2">
        <v>2.399</v>
      </c>
      <c r="K31" s="2">
        <v>2.403</v>
      </c>
      <c r="L31" s="2">
        <v>2.403</v>
      </c>
      <c r="M31" s="2">
        <v>4.0000000000000001E-3</v>
      </c>
      <c r="N31" s="2">
        <v>2.4649999999999999</v>
      </c>
      <c r="O31" s="2">
        <v>-6.2E-2</v>
      </c>
      <c r="P31" s="2">
        <v>-2.5</v>
      </c>
    </row>
    <row r="32" spans="1:16" x14ac:dyDescent="0.35">
      <c r="A32" s="2">
        <v>31</v>
      </c>
      <c r="B32" s="2" t="s">
        <v>20</v>
      </c>
      <c r="C32" s="2">
        <v>2.5152000000000001</v>
      </c>
      <c r="D32" s="2">
        <v>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32</v>
      </c>
      <c r="B33" s="2" t="s">
        <v>20</v>
      </c>
      <c r="C33" s="2">
        <v>2.5657000000000001</v>
      </c>
      <c r="D33" s="2">
        <v>0</v>
      </c>
      <c r="E33" s="4" t="s">
        <v>18</v>
      </c>
      <c r="F33" s="2">
        <v>0.77</v>
      </c>
      <c r="G33" s="2">
        <v>639</v>
      </c>
      <c r="H33" s="2">
        <v>228</v>
      </c>
      <c r="I33" s="2">
        <v>2.4649999999999999</v>
      </c>
      <c r="J33" s="2">
        <v>2.54</v>
      </c>
      <c r="K33" s="2">
        <v>2.5550000000000002</v>
      </c>
      <c r="L33" s="2">
        <v>2.5550000000000002</v>
      </c>
      <c r="M33" s="2">
        <v>4.0000000000000001E-3</v>
      </c>
      <c r="N33" s="2">
        <v>2.5659999999999998</v>
      </c>
      <c r="O33" s="2">
        <v>-1.0999999999999999E-2</v>
      </c>
      <c r="P33" s="2">
        <v>-0.4</v>
      </c>
    </row>
    <row r="34" spans="1:16" x14ac:dyDescent="0.35">
      <c r="A34" s="2">
        <v>33</v>
      </c>
      <c r="B34" s="2" t="s">
        <v>20</v>
      </c>
      <c r="C34" s="2">
        <v>2.6162000000000001</v>
      </c>
      <c r="D34" s="2">
        <v>0</v>
      </c>
      <c r="E34" s="4" t="s">
        <v>18</v>
      </c>
      <c r="F34" s="2">
        <v>0.73</v>
      </c>
      <c r="G34" s="2">
        <v>640</v>
      </c>
      <c r="H34" s="2">
        <v>226</v>
      </c>
      <c r="I34" s="2">
        <v>2.5129999999999999</v>
      </c>
      <c r="J34" s="2">
        <v>2.5880000000000001</v>
      </c>
      <c r="K34" s="2">
        <v>2.605</v>
      </c>
      <c r="L34" s="2">
        <v>2.605</v>
      </c>
      <c r="M34" s="2">
        <v>0</v>
      </c>
      <c r="N34" s="2">
        <v>2.6160000000000001</v>
      </c>
      <c r="O34" s="2">
        <v>-1.0999999999999999E-2</v>
      </c>
      <c r="P34" s="2">
        <v>-0.4</v>
      </c>
    </row>
    <row r="35" spans="1:16" x14ac:dyDescent="0.35">
      <c r="A35" s="2">
        <v>34</v>
      </c>
      <c r="B35" s="2" t="s">
        <v>20</v>
      </c>
      <c r="C35" s="2">
        <v>2.6667000000000001</v>
      </c>
      <c r="D35" s="2">
        <v>0</v>
      </c>
      <c r="E35" s="4" t="s">
        <v>18</v>
      </c>
      <c r="F35" s="2">
        <v>0.73</v>
      </c>
      <c r="G35" s="2">
        <v>640</v>
      </c>
      <c r="H35" s="2">
        <v>226</v>
      </c>
      <c r="I35" s="2">
        <v>2.5129999999999999</v>
      </c>
      <c r="J35" s="2">
        <v>2.5880000000000001</v>
      </c>
      <c r="K35" s="2">
        <v>2.605</v>
      </c>
      <c r="L35" s="2">
        <v>2.605</v>
      </c>
      <c r="M35" s="2">
        <v>0</v>
      </c>
      <c r="N35" s="2">
        <v>2.6160000000000001</v>
      </c>
      <c r="O35" s="2">
        <v>-1.0999999999999999E-2</v>
      </c>
      <c r="P35" s="2">
        <v>-0.4</v>
      </c>
    </row>
    <row r="36" spans="1:16" x14ac:dyDescent="0.35">
      <c r="A36" s="2">
        <v>35</v>
      </c>
      <c r="B36" s="2" t="s">
        <v>20</v>
      </c>
      <c r="C36" s="2">
        <v>2.7172000000000001</v>
      </c>
      <c r="D36" s="2">
        <v>0</v>
      </c>
      <c r="E36" s="4" t="s">
        <v>18</v>
      </c>
      <c r="F36" s="2">
        <v>0.72</v>
      </c>
      <c r="G36" s="2">
        <v>640</v>
      </c>
      <c r="H36" s="2">
        <v>224</v>
      </c>
      <c r="I36" s="2">
        <v>2.5609999999999999</v>
      </c>
      <c r="J36" s="2">
        <v>2.6360000000000001</v>
      </c>
      <c r="K36" s="2">
        <v>2.6560000000000001</v>
      </c>
      <c r="L36" s="2">
        <v>2.6560000000000001</v>
      </c>
      <c r="M36" s="2">
        <v>0</v>
      </c>
      <c r="N36" s="2">
        <v>2.6669999999999998</v>
      </c>
      <c r="O36" s="2">
        <v>-1.0999999999999999E-2</v>
      </c>
      <c r="P36" s="2">
        <v>-0.4</v>
      </c>
    </row>
    <row r="37" spans="1:16" x14ac:dyDescent="0.35">
      <c r="A37" s="2">
        <v>36</v>
      </c>
      <c r="B37" s="2" t="s">
        <v>20</v>
      </c>
      <c r="C37" s="2">
        <v>2.7677</v>
      </c>
      <c r="D37" s="2">
        <v>0</v>
      </c>
      <c r="E37" s="4" t="s">
        <v>18</v>
      </c>
      <c r="F37" s="2">
        <v>0.62</v>
      </c>
      <c r="G37" s="2">
        <v>640</v>
      </c>
      <c r="H37" s="2">
        <v>223</v>
      </c>
      <c r="I37" s="2">
        <v>2.609</v>
      </c>
      <c r="J37" s="2">
        <v>2.6840000000000002</v>
      </c>
      <c r="K37" s="2">
        <v>2.706</v>
      </c>
      <c r="L37" s="2">
        <v>2.706</v>
      </c>
      <c r="M37" s="2">
        <v>0</v>
      </c>
      <c r="N37" s="2">
        <v>2.7170000000000001</v>
      </c>
      <c r="O37" s="2">
        <v>-1.0999999999999999E-2</v>
      </c>
      <c r="P37" s="2">
        <v>-0.4</v>
      </c>
    </row>
    <row r="38" spans="1:16" x14ac:dyDescent="0.35">
      <c r="A38" s="2">
        <v>37</v>
      </c>
      <c r="B38" s="2" t="s">
        <v>20</v>
      </c>
      <c r="C38" s="2">
        <v>2.8182</v>
      </c>
      <c r="D38" s="2">
        <v>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2">
        <v>38</v>
      </c>
      <c r="B39" s="2" t="s">
        <v>20</v>
      </c>
      <c r="C39" s="2">
        <v>2.8687</v>
      </c>
      <c r="D39" s="2">
        <v>0</v>
      </c>
      <c r="E39" s="4" t="s">
        <v>18</v>
      </c>
      <c r="F39" s="2">
        <v>0.44</v>
      </c>
      <c r="G39" s="2">
        <v>640</v>
      </c>
      <c r="H39" s="2">
        <v>219</v>
      </c>
      <c r="I39" s="2">
        <v>2.7040000000000002</v>
      </c>
      <c r="J39" s="2">
        <v>2.7789999999999999</v>
      </c>
      <c r="K39" s="2">
        <v>2.8079999999999998</v>
      </c>
      <c r="L39" s="2">
        <v>2.8079999999999998</v>
      </c>
      <c r="M39" s="2">
        <v>0</v>
      </c>
      <c r="N39" s="2">
        <v>2.8180000000000001</v>
      </c>
      <c r="O39" s="2">
        <v>-1.0999999999999999E-2</v>
      </c>
      <c r="P39" s="2">
        <v>-0.4</v>
      </c>
    </row>
    <row r="40" spans="1:16" x14ac:dyDescent="0.35">
      <c r="A40" s="2">
        <v>39</v>
      </c>
      <c r="B40" s="2" t="s">
        <v>20</v>
      </c>
      <c r="C40" s="2">
        <v>2.9192</v>
      </c>
      <c r="D40" s="2">
        <v>0</v>
      </c>
      <c r="E40" s="4" t="s">
        <v>18</v>
      </c>
      <c r="F40" s="2">
        <v>0.45</v>
      </c>
      <c r="G40" s="2">
        <v>640</v>
      </c>
      <c r="H40" s="2">
        <v>217</v>
      </c>
      <c r="I40" s="2">
        <v>2.7509999999999999</v>
      </c>
      <c r="J40" s="2">
        <v>2.8260000000000001</v>
      </c>
      <c r="K40" s="2">
        <v>2.8580000000000001</v>
      </c>
      <c r="L40" s="2">
        <v>2.8580000000000001</v>
      </c>
      <c r="M40" s="2">
        <v>0</v>
      </c>
      <c r="N40" s="2">
        <v>2.8690000000000002</v>
      </c>
      <c r="O40" s="2">
        <v>-0.01</v>
      </c>
      <c r="P40" s="2">
        <v>-0.4</v>
      </c>
    </row>
    <row r="41" spans="1:16" x14ac:dyDescent="0.35">
      <c r="A41" s="2">
        <v>40</v>
      </c>
      <c r="B41" s="2" t="s">
        <v>20</v>
      </c>
      <c r="C41" s="2">
        <v>2.9697</v>
      </c>
      <c r="D41" s="2">
        <v>0</v>
      </c>
      <c r="E41" s="4" t="s">
        <v>18</v>
      </c>
      <c r="F41" s="2">
        <v>0.51</v>
      </c>
      <c r="G41" s="2">
        <v>639</v>
      </c>
      <c r="H41" s="2">
        <v>215</v>
      </c>
      <c r="I41" s="2">
        <v>2.798</v>
      </c>
      <c r="J41" s="2">
        <v>2.8730000000000002</v>
      </c>
      <c r="K41" s="2">
        <v>2.9089999999999998</v>
      </c>
      <c r="L41" s="2">
        <v>2.9089999999999998</v>
      </c>
      <c r="M41" s="2">
        <v>4.0000000000000001E-3</v>
      </c>
      <c r="N41" s="2">
        <v>2.97</v>
      </c>
      <c r="O41" s="2">
        <v>-6.0999999999999999E-2</v>
      </c>
      <c r="P41" s="2">
        <v>-2</v>
      </c>
    </row>
    <row r="42" spans="1:16" x14ac:dyDescent="0.35">
      <c r="A42" s="2">
        <v>41</v>
      </c>
      <c r="B42" s="2" t="s">
        <v>20</v>
      </c>
      <c r="C42" s="2">
        <v>3.0202</v>
      </c>
      <c r="D42" s="2">
        <v>0</v>
      </c>
      <c r="E42" s="4" t="s">
        <v>18</v>
      </c>
      <c r="F42" s="2">
        <v>0.42</v>
      </c>
      <c r="G42" s="2">
        <v>639</v>
      </c>
      <c r="H42" s="2">
        <v>211</v>
      </c>
      <c r="I42" s="2">
        <v>2.8420000000000001</v>
      </c>
      <c r="J42" s="2">
        <v>2.9169999999999998</v>
      </c>
      <c r="K42" s="2">
        <v>2.96</v>
      </c>
      <c r="L42" s="2">
        <v>2.96</v>
      </c>
      <c r="M42" s="2">
        <v>4.0000000000000001E-3</v>
      </c>
      <c r="N42" s="2">
        <v>3.02</v>
      </c>
      <c r="O42" s="2">
        <v>-6.0999999999999999E-2</v>
      </c>
      <c r="P42" s="2">
        <v>-2</v>
      </c>
    </row>
    <row r="43" spans="1:16" x14ac:dyDescent="0.35">
      <c r="A43" s="2">
        <v>42</v>
      </c>
      <c r="B43" s="2" t="s">
        <v>20</v>
      </c>
      <c r="C43" s="2">
        <v>3.0707</v>
      </c>
      <c r="D43" s="2">
        <v>0</v>
      </c>
      <c r="E43" s="4" t="s">
        <v>18</v>
      </c>
      <c r="F43" s="2">
        <v>0.42</v>
      </c>
      <c r="G43" s="2">
        <v>639</v>
      </c>
      <c r="H43" s="2">
        <v>211</v>
      </c>
      <c r="I43" s="2">
        <v>2.8919999999999999</v>
      </c>
      <c r="J43" s="2">
        <v>2.9670000000000001</v>
      </c>
      <c r="K43" s="2">
        <v>3.01</v>
      </c>
      <c r="L43" s="2">
        <v>3.01</v>
      </c>
      <c r="M43" s="2">
        <v>4.0000000000000001E-3</v>
      </c>
      <c r="N43" s="2">
        <v>3.0710000000000002</v>
      </c>
      <c r="O43" s="2">
        <v>-6.0999999999999999E-2</v>
      </c>
      <c r="P43" s="2">
        <v>-2</v>
      </c>
    </row>
    <row r="44" spans="1:16" x14ac:dyDescent="0.35">
      <c r="A44" s="2">
        <v>43</v>
      </c>
      <c r="B44" s="2" t="s">
        <v>20</v>
      </c>
      <c r="C44" s="2">
        <v>3.1212</v>
      </c>
      <c r="D44" s="2">
        <v>0</v>
      </c>
      <c r="E44" s="4" t="s">
        <v>18</v>
      </c>
      <c r="F44" s="2">
        <v>0.31</v>
      </c>
      <c r="G44" s="2">
        <v>639</v>
      </c>
      <c r="H44" s="2">
        <v>210</v>
      </c>
      <c r="I44" s="2">
        <v>2.99</v>
      </c>
      <c r="J44" s="2">
        <v>3.0649999999999999</v>
      </c>
      <c r="K44" s="2">
        <v>3.1110000000000002</v>
      </c>
      <c r="L44" s="2">
        <v>3.1110000000000002</v>
      </c>
      <c r="M44" s="2">
        <v>5.0000000000000001E-3</v>
      </c>
      <c r="N44" s="2">
        <v>3.121</v>
      </c>
      <c r="O44" s="2">
        <v>-0.01</v>
      </c>
      <c r="P44" s="2">
        <v>-0.3</v>
      </c>
    </row>
    <row r="45" spans="1:16" x14ac:dyDescent="0.35">
      <c r="A45" s="2">
        <v>44</v>
      </c>
      <c r="B45" s="2" t="s">
        <v>20</v>
      </c>
      <c r="C45" s="2">
        <v>3.1717</v>
      </c>
      <c r="D45" s="2">
        <v>0</v>
      </c>
      <c r="E45" s="4" t="s">
        <v>18</v>
      </c>
      <c r="F45" s="2">
        <v>0.25</v>
      </c>
      <c r="G45" s="2">
        <v>639</v>
      </c>
      <c r="H45" s="2">
        <v>208</v>
      </c>
      <c r="I45" s="2">
        <v>2.9870000000000001</v>
      </c>
      <c r="J45" s="2">
        <v>3.0619999999999998</v>
      </c>
      <c r="K45" s="2">
        <v>3.1110000000000002</v>
      </c>
      <c r="L45" s="2">
        <v>3.1110000000000002</v>
      </c>
      <c r="M45" s="2">
        <v>5.0000000000000001E-3</v>
      </c>
      <c r="N45" s="2">
        <v>3.121</v>
      </c>
      <c r="O45" s="2">
        <v>-0.01</v>
      </c>
      <c r="P45" s="2">
        <v>-0.3</v>
      </c>
    </row>
    <row r="46" spans="1:16" x14ac:dyDescent="0.35">
      <c r="A46" s="2">
        <v>45</v>
      </c>
      <c r="B46" s="2" t="s">
        <v>20</v>
      </c>
      <c r="C46" s="2">
        <v>3.2222</v>
      </c>
      <c r="D46" s="2">
        <v>0</v>
      </c>
      <c r="E46" s="4" t="s">
        <v>18</v>
      </c>
      <c r="F46" s="2">
        <v>0.31</v>
      </c>
      <c r="G46" s="2">
        <v>640</v>
      </c>
      <c r="H46" s="2">
        <v>207</v>
      </c>
      <c r="I46" s="2">
        <v>3.0350000000000001</v>
      </c>
      <c r="J46" s="2">
        <v>3.11</v>
      </c>
      <c r="K46" s="2">
        <v>3.1619999999999999</v>
      </c>
      <c r="L46" s="2">
        <v>3.1619999999999999</v>
      </c>
      <c r="M46" s="2">
        <v>0</v>
      </c>
      <c r="N46" s="2">
        <v>3.222</v>
      </c>
      <c r="O46" s="2">
        <v>-0.06</v>
      </c>
      <c r="P46" s="2">
        <v>-1.9</v>
      </c>
    </row>
    <row r="47" spans="1:16" x14ac:dyDescent="0.35">
      <c r="A47" s="2">
        <v>46</v>
      </c>
      <c r="B47" s="2" t="s">
        <v>20</v>
      </c>
      <c r="C47" s="2">
        <v>3.2726999999999999</v>
      </c>
      <c r="D47" s="2">
        <v>0</v>
      </c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47</v>
      </c>
      <c r="B48" s="2" t="s">
        <v>20</v>
      </c>
      <c r="C48" s="2">
        <v>3.3231999999999999</v>
      </c>
      <c r="D48" s="2">
        <v>0</v>
      </c>
      <c r="E48" s="4" t="s">
        <v>18</v>
      </c>
      <c r="F48" s="2">
        <v>0.52</v>
      </c>
      <c r="G48" s="2">
        <v>640</v>
      </c>
      <c r="H48" s="2">
        <v>204</v>
      </c>
      <c r="I48" s="2">
        <v>3.13</v>
      </c>
      <c r="J48" s="2">
        <v>3.2050000000000001</v>
      </c>
      <c r="K48" s="2">
        <v>3.2629999999999999</v>
      </c>
      <c r="L48" s="2">
        <v>3.2629999999999999</v>
      </c>
      <c r="M48" s="2">
        <v>0</v>
      </c>
      <c r="N48" s="2">
        <v>3.323</v>
      </c>
      <c r="O48" s="2">
        <v>-0.06</v>
      </c>
      <c r="P48" s="2">
        <v>-1.8</v>
      </c>
    </row>
    <row r="49" spans="1:16" x14ac:dyDescent="0.35">
      <c r="A49" s="2">
        <v>48</v>
      </c>
      <c r="B49" s="2" t="s">
        <v>20</v>
      </c>
      <c r="C49" s="2">
        <v>3.3736999999999999</v>
      </c>
      <c r="D49" s="2">
        <v>0</v>
      </c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49</v>
      </c>
      <c r="B50" s="2" t="s">
        <v>20</v>
      </c>
      <c r="C50" s="2">
        <v>3.4241999999999999</v>
      </c>
      <c r="D50" s="2">
        <v>0</v>
      </c>
      <c r="E50" s="4" t="s">
        <v>18</v>
      </c>
      <c r="F50" s="2">
        <v>0.46</v>
      </c>
      <c r="G50" s="2">
        <v>640</v>
      </c>
      <c r="H50" s="2">
        <v>199</v>
      </c>
      <c r="I50" s="2">
        <v>3.2709999999999999</v>
      </c>
      <c r="J50" s="2">
        <v>3.3460000000000001</v>
      </c>
      <c r="K50" s="2">
        <v>3.415</v>
      </c>
      <c r="L50" s="2">
        <v>3.415</v>
      </c>
      <c r="M50" s="2">
        <v>0</v>
      </c>
      <c r="N50" s="2">
        <v>3.4239999999999999</v>
      </c>
      <c r="O50" s="2">
        <v>-0.01</v>
      </c>
      <c r="P50" s="2">
        <v>-0.3</v>
      </c>
    </row>
    <row r="51" spans="1:16" x14ac:dyDescent="0.35">
      <c r="A51" s="2">
        <v>50</v>
      </c>
      <c r="B51" s="2" t="s">
        <v>20</v>
      </c>
      <c r="C51" s="2">
        <v>3.4746999999999999</v>
      </c>
      <c r="D51" s="2">
        <v>0</v>
      </c>
      <c r="E51" s="4" t="s">
        <v>18</v>
      </c>
      <c r="F51" s="2">
        <v>0.46</v>
      </c>
      <c r="G51" s="2">
        <v>640</v>
      </c>
      <c r="H51" s="2">
        <v>199</v>
      </c>
      <c r="I51" s="2">
        <v>3.2709999999999999</v>
      </c>
      <c r="J51" s="2">
        <v>3.3460000000000001</v>
      </c>
      <c r="K51" s="2">
        <v>3.415</v>
      </c>
      <c r="L51" s="2">
        <v>3.415</v>
      </c>
      <c r="M51" s="2">
        <v>0</v>
      </c>
      <c r="N51" s="2">
        <v>3.4239999999999999</v>
      </c>
      <c r="O51" s="2">
        <v>-0.01</v>
      </c>
      <c r="P51" s="2">
        <v>-0.3</v>
      </c>
    </row>
    <row r="52" spans="1:16" x14ac:dyDescent="0.35">
      <c r="A52" s="2">
        <v>51</v>
      </c>
      <c r="B52" s="2" t="s">
        <v>20</v>
      </c>
      <c r="C52" s="2">
        <v>3.5253000000000001</v>
      </c>
      <c r="D52" s="2">
        <v>0</v>
      </c>
      <c r="E52" s="4" t="s">
        <v>18</v>
      </c>
      <c r="F52" s="2">
        <v>0.52</v>
      </c>
      <c r="G52" s="2">
        <v>640</v>
      </c>
      <c r="H52" s="2">
        <v>198</v>
      </c>
      <c r="I52" s="2">
        <v>3.3180000000000001</v>
      </c>
      <c r="J52" s="2">
        <v>3.3929999999999998</v>
      </c>
      <c r="K52" s="2">
        <v>3.4649999999999999</v>
      </c>
      <c r="L52" s="2">
        <v>3.4649999999999999</v>
      </c>
      <c r="M52" s="2">
        <v>0</v>
      </c>
      <c r="N52" s="2">
        <v>3.5249999999999999</v>
      </c>
      <c r="O52" s="2">
        <v>-0.06</v>
      </c>
      <c r="P52" s="2">
        <v>-1.7</v>
      </c>
    </row>
    <row r="53" spans="1:16" x14ac:dyDescent="0.35">
      <c r="A53" s="2">
        <v>52</v>
      </c>
      <c r="B53" s="2" t="s">
        <v>20</v>
      </c>
      <c r="C53" s="2">
        <v>3.5758000000000001</v>
      </c>
      <c r="D53" s="2">
        <v>0</v>
      </c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53</v>
      </c>
      <c r="B54" s="2" t="s">
        <v>20</v>
      </c>
      <c r="C54" s="2">
        <v>3.6263000000000001</v>
      </c>
      <c r="D54" s="2">
        <v>0</v>
      </c>
      <c r="E54" s="4" t="s">
        <v>18</v>
      </c>
      <c r="F54" s="2">
        <v>0.7</v>
      </c>
      <c r="G54" s="2">
        <v>640</v>
      </c>
      <c r="H54" s="2">
        <v>196</v>
      </c>
      <c r="I54" s="2">
        <v>3.4140000000000001</v>
      </c>
      <c r="J54" s="2">
        <v>3.4889999999999999</v>
      </c>
      <c r="K54" s="2">
        <v>3.5659999999999998</v>
      </c>
      <c r="L54" s="2">
        <v>3.5659999999999998</v>
      </c>
      <c r="M54" s="2">
        <v>0</v>
      </c>
      <c r="N54" s="2">
        <v>3.5760000000000001</v>
      </c>
      <c r="O54" s="2">
        <v>-8.9999999999999993E-3</v>
      </c>
      <c r="P54" s="2">
        <v>-0.3</v>
      </c>
    </row>
    <row r="55" spans="1:16" x14ac:dyDescent="0.35">
      <c r="A55" s="2">
        <v>54</v>
      </c>
      <c r="B55" s="2" t="s">
        <v>20</v>
      </c>
      <c r="C55" s="2">
        <v>3.6768000000000001</v>
      </c>
      <c r="D55" s="2">
        <v>0</v>
      </c>
      <c r="E55" s="4" t="s">
        <v>18</v>
      </c>
      <c r="F55" s="2">
        <v>0.74</v>
      </c>
      <c r="G55" s="2">
        <v>640</v>
      </c>
      <c r="H55" s="2">
        <v>195</v>
      </c>
      <c r="I55" s="2">
        <v>3.4620000000000002</v>
      </c>
      <c r="J55" s="2">
        <v>3.5369999999999999</v>
      </c>
      <c r="K55" s="2">
        <v>3.617</v>
      </c>
      <c r="L55" s="2">
        <v>3.617</v>
      </c>
      <c r="M55" s="2">
        <v>0</v>
      </c>
      <c r="N55" s="2">
        <v>3.677</v>
      </c>
      <c r="O55" s="2">
        <v>-0.06</v>
      </c>
      <c r="P55" s="2">
        <v>-1.6</v>
      </c>
    </row>
    <row r="56" spans="1:16" x14ac:dyDescent="0.35">
      <c r="A56" s="2">
        <v>55</v>
      </c>
      <c r="B56" s="2" t="s">
        <v>20</v>
      </c>
      <c r="C56" s="2">
        <v>3.7273000000000001</v>
      </c>
      <c r="D56" s="2">
        <v>0</v>
      </c>
      <c r="E56" s="4" t="s">
        <v>18</v>
      </c>
      <c r="F56" s="2">
        <v>0.77</v>
      </c>
      <c r="G56" s="2">
        <v>640</v>
      </c>
      <c r="H56" s="2">
        <v>193</v>
      </c>
      <c r="I56" s="2">
        <v>3.508</v>
      </c>
      <c r="J56" s="2">
        <v>3.5830000000000002</v>
      </c>
      <c r="K56" s="2">
        <v>3.6680000000000001</v>
      </c>
      <c r="L56" s="2">
        <v>3.6680000000000001</v>
      </c>
      <c r="M56" s="2">
        <v>0</v>
      </c>
      <c r="N56" s="2">
        <v>3.677</v>
      </c>
      <c r="O56" s="2">
        <v>-8.9999999999999993E-3</v>
      </c>
      <c r="P56" s="2">
        <v>-0.3</v>
      </c>
    </row>
    <row r="57" spans="1:16" x14ac:dyDescent="0.35">
      <c r="A57" s="2">
        <v>56</v>
      </c>
      <c r="B57" s="2" t="s">
        <v>20</v>
      </c>
      <c r="C57" s="2">
        <v>3.7778</v>
      </c>
      <c r="D57" s="2">
        <v>0</v>
      </c>
      <c r="E57" s="4" t="s">
        <v>18</v>
      </c>
      <c r="F57" s="2">
        <v>0.81</v>
      </c>
      <c r="G57" s="2">
        <v>640</v>
      </c>
      <c r="H57" s="2">
        <v>193</v>
      </c>
      <c r="I57" s="2">
        <v>3.5569999999999999</v>
      </c>
      <c r="J57" s="2">
        <v>3.6320000000000001</v>
      </c>
      <c r="K57" s="2">
        <v>3.718</v>
      </c>
      <c r="L57" s="2">
        <v>3.718</v>
      </c>
      <c r="M57" s="2">
        <v>0</v>
      </c>
      <c r="N57" s="2">
        <v>3.7269999999999999</v>
      </c>
      <c r="O57" s="2">
        <v>-8.9999999999999993E-3</v>
      </c>
      <c r="P57" s="2">
        <v>-0.2</v>
      </c>
    </row>
    <row r="58" spans="1:16" x14ac:dyDescent="0.35">
      <c r="A58" s="2">
        <v>57</v>
      </c>
      <c r="B58" s="2" t="s">
        <v>20</v>
      </c>
      <c r="C58" s="2">
        <v>3.8283</v>
      </c>
      <c r="D58" s="2">
        <v>0</v>
      </c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58</v>
      </c>
      <c r="B59" s="2" t="s">
        <v>20</v>
      </c>
      <c r="C59" s="2">
        <v>3.8788</v>
      </c>
      <c r="D59" s="2">
        <v>0</v>
      </c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59</v>
      </c>
      <c r="B60" s="2" t="s">
        <v>20</v>
      </c>
      <c r="C60" s="2">
        <v>3.9293</v>
      </c>
      <c r="D60" s="2">
        <v>0</v>
      </c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60</v>
      </c>
      <c r="B61" s="2" t="s">
        <v>20</v>
      </c>
      <c r="C61" s="2">
        <v>3.9798</v>
      </c>
      <c r="D61" s="2">
        <v>0</v>
      </c>
      <c r="E61" s="4" t="s">
        <v>18</v>
      </c>
      <c r="F61" s="2">
        <v>0.77</v>
      </c>
      <c r="G61" s="2">
        <v>640</v>
      </c>
      <c r="H61" s="2">
        <v>189</v>
      </c>
      <c r="I61" s="2">
        <v>3.7469999999999999</v>
      </c>
      <c r="J61" s="2">
        <v>3.8220000000000001</v>
      </c>
      <c r="K61" s="2">
        <v>3.92</v>
      </c>
      <c r="L61" s="2">
        <v>3.92</v>
      </c>
      <c r="M61" s="2">
        <v>0</v>
      </c>
      <c r="N61" s="2">
        <v>3.9289999999999998</v>
      </c>
      <c r="O61" s="2">
        <v>-8.9999999999999993E-3</v>
      </c>
      <c r="P61" s="2">
        <v>-0.2</v>
      </c>
    </row>
    <row r="62" spans="1:16" x14ac:dyDescent="0.35">
      <c r="A62" s="2">
        <v>61</v>
      </c>
      <c r="B62" s="2" t="s">
        <v>20</v>
      </c>
      <c r="C62" s="2">
        <v>4.0303000000000004</v>
      </c>
      <c r="D62" s="2">
        <v>0</v>
      </c>
      <c r="E62" s="4" t="s">
        <v>18</v>
      </c>
      <c r="F62" s="2">
        <v>0.81</v>
      </c>
      <c r="G62" s="2">
        <v>640</v>
      </c>
      <c r="H62" s="2">
        <v>188</v>
      </c>
      <c r="I62" s="2">
        <v>3.794</v>
      </c>
      <c r="J62" s="2">
        <v>3.8690000000000002</v>
      </c>
      <c r="K62" s="2">
        <v>3.9710000000000001</v>
      </c>
      <c r="L62" s="2">
        <v>3.9710000000000001</v>
      </c>
      <c r="M62" s="2">
        <v>0</v>
      </c>
      <c r="N62" s="2">
        <v>3.98</v>
      </c>
      <c r="O62" s="2">
        <v>-8.9999999999999993E-3</v>
      </c>
      <c r="P62" s="2">
        <v>-0.2</v>
      </c>
    </row>
    <row r="63" spans="1:16" x14ac:dyDescent="0.35">
      <c r="A63" s="2">
        <v>62</v>
      </c>
      <c r="B63" s="2" t="s">
        <v>20</v>
      </c>
      <c r="C63" s="2">
        <v>4.0808</v>
      </c>
      <c r="D63" s="2">
        <v>0</v>
      </c>
      <c r="E63" s="4" t="s">
        <v>18</v>
      </c>
      <c r="F63" s="2">
        <v>0.78</v>
      </c>
      <c r="G63" s="2">
        <v>640</v>
      </c>
      <c r="H63" s="2">
        <v>186</v>
      </c>
      <c r="I63" s="2">
        <v>3.8889999999999998</v>
      </c>
      <c r="J63" s="2">
        <v>3.964</v>
      </c>
      <c r="K63" s="2">
        <v>4.0720000000000001</v>
      </c>
      <c r="L63" s="2">
        <v>4.0720000000000001</v>
      </c>
      <c r="M63" s="2">
        <v>0</v>
      </c>
      <c r="N63" s="2">
        <v>4.0810000000000004</v>
      </c>
      <c r="O63" s="2">
        <v>-8.9999999999999993E-3</v>
      </c>
      <c r="P63" s="2">
        <v>-0.2</v>
      </c>
    </row>
    <row r="64" spans="1:16" x14ac:dyDescent="0.35">
      <c r="A64" s="2">
        <v>63</v>
      </c>
      <c r="B64" s="2" t="s">
        <v>20</v>
      </c>
      <c r="C64" s="2">
        <v>4.1313000000000004</v>
      </c>
      <c r="D64" s="2">
        <v>0</v>
      </c>
      <c r="E64" s="4" t="s">
        <v>18</v>
      </c>
      <c r="F64" s="2">
        <v>0.78</v>
      </c>
      <c r="G64" s="2">
        <v>640</v>
      </c>
      <c r="H64" s="2">
        <v>186</v>
      </c>
      <c r="I64" s="2">
        <v>3.8889999999999998</v>
      </c>
      <c r="J64" s="2">
        <v>3.964</v>
      </c>
      <c r="K64" s="2">
        <v>4.0720000000000001</v>
      </c>
      <c r="L64" s="2">
        <v>4.0720000000000001</v>
      </c>
      <c r="M64" s="2">
        <v>0</v>
      </c>
      <c r="N64" s="2">
        <v>4.0810000000000004</v>
      </c>
      <c r="O64" s="2">
        <v>-8.9999999999999993E-3</v>
      </c>
      <c r="P64" s="2">
        <v>-0.2</v>
      </c>
    </row>
    <row r="65" spans="1:16" x14ac:dyDescent="0.35">
      <c r="A65" s="2">
        <v>64</v>
      </c>
      <c r="B65" s="2" t="s">
        <v>20</v>
      </c>
      <c r="C65" s="2">
        <v>4.1818</v>
      </c>
      <c r="D65" s="2">
        <v>0</v>
      </c>
      <c r="E65" s="4" t="s">
        <v>18</v>
      </c>
      <c r="F65" s="2">
        <v>0.76</v>
      </c>
      <c r="G65" s="2">
        <v>640</v>
      </c>
      <c r="H65" s="2">
        <v>185</v>
      </c>
      <c r="I65" s="2">
        <v>3.9359999999999999</v>
      </c>
      <c r="J65" s="2">
        <v>4.0110000000000001</v>
      </c>
      <c r="K65" s="2">
        <v>4.1230000000000002</v>
      </c>
      <c r="L65" s="2">
        <v>4.1230000000000002</v>
      </c>
      <c r="M65" s="2">
        <v>0</v>
      </c>
      <c r="N65" s="2">
        <v>4.1310000000000002</v>
      </c>
      <c r="O65" s="2">
        <v>-8.9999999999999993E-3</v>
      </c>
      <c r="P65" s="2">
        <v>-0.2</v>
      </c>
    </row>
    <row r="66" spans="1:16" x14ac:dyDescent="0.35">
      <c r="A66" s="2">
        <v>65</v>
      </c>
      <c r="B66" s="2" t="s">
        <v>20</v>
      </c>
      <c r="C66" s="2">
        <v>4.2323000000000004</v>
      </c>
      <c r="D66" s="2">
        <v>0</v>
      </c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66</v>
      </c>
      <c r="B67" s="2" t="s">
        <v>20</v>
      </c>
      <c r="C67" s="2">
        <v>4.2827999999999999</v>
      </c>
      <c r="D67" s="2">
        <v>0</v>
      </c>
      <c r="E67" s="4" t="s">
        <v>18</v>
      </c>
      <c r="F67" s="2">
        <v>0.77</v>
      </c>
      <c r="G67" s="2">
        <v>641</v>
      </c>
      <c r="H67" s="2">
        <v>184</v>
      </c>
      <c r="I67" s="2">
        <v>4.0330000000000004</v>
      </c>
      <c r="J67" s="2">
        <v>4.1079999999999997</v>
      </c>
      <c r="K67" s="2">
        <v>4.2240000000000002</v>
      </c>
      <c r="L67" s="2">
        <v>4.2240000000000002</v>
      </c>
      <c r="M67" s="2">
        <v>-6.0000000000000001E-3</v>
      </c>
      <c r="N67" s="2">
        <v>4.2320000000000002</v>
      </c>
      <c r="O67" s="2">
        <v>-8.0000000000000002E-3</v>
      </c>
      <c r="P67" s="2">
        <v>-0.2</v>
      </c>
    </row>
    <row r="68" spans="1:16" x14ac:dyDescent="0.35">
      <c r="A68" s="2">
        <v>67</v>
      </c>
      <c r="B68" s="2" t="s">
        <v>20</v>
      </c>
      <c r="C68" s="2">
        <v>4.3333000000000004</v>
      </c>
      <c r="D68" s="2">
        <v>0</v>
      </c>
      <c r="E68" s="4" t="s">
        <v>18</v>
      </c>
      <c r="F68" s="2">
        <v>0.66</v>
      </c>
      <c r="G68" s="2">
        <v>640</v>
      </c>
      <c r="H68" s="2">
        <v>183</v>
      </c>
      <c r="I68" s="2">
        <v>4.0789999999999997</v>
      </c>
      <c r="J68" s="2">
        <v>4.1539999999999999</v>
      </c>
      <c r="K68" s="2">
        <v>4.274</v>
      </c>
      <c r="L68" s="2">
        <v>4.274</v>
      </c>
      <c r="M68" s="2">
        <v>0</v>
      </c>
      <c r="N68" s="2">
        <v>4.2830000000000004</v>
      </c>
      <c r="O68" s="2">
        <v>-8.9999999999999993E-3</v>
      </c>
      <c r="P68" s="2">
        <v>-0.2</v>
      </c>
    </row>
    <row r="69" spans="1:16" x14ac:dyDescent="0.35">
      <c r="A69" s="2">
        <v>68</v>
      </c>
      <c r="B69" s="2" t="s">
        <v>20</v>
      </c>
      <c r="C69" s="2">
        <v>4.3837999999999999</v>
      </c>
      <c r="D69" s="2">
        <v>0</v>
      </c>
      <c r="E69" s="4" t="s">
        <v>18</v>
      </c>
      <c r="F69" s="2">
        <v>0.79</v>
      </c>
      <c r="G69" s="2">
        <v>640</v>
      </c>
      <c r="H69" s="2">
        <v>181</v>
      </c>
      <c r="I69" s="2">
        <v>4.173</v>
      </c>
      <c r="J69" s="2">
        <v>4.2480000000000002</v>
      </c>
      <c r="K69" s="2">
        <v>4.375</v>
      </c>
      <c r="L69" s="2">
        <v>4.375</v>
      </c>
      <c r="M69" s="2">
        <v>0</v>
      </c>
      <c r="N69" s="2">
        <v>4.3840000000000003</v>
      </c>
      <c r="O69" s="2">
        <v>-8.9999999999999993E-3</v>
      </c>
      <c r="P69" s="2">
        <v>-0.2</v>
      </c>
    </row>
    <row r="70" spans="1:16" x14ac:dyDescent="0.35">
      <c r="A70" s="2">
        <v>69</v>
      </c>
      <c r="B70" s="2" t="s">
        <v>20</v>
      </c>
      <c r="C70" s="2">
        <v>4.4343000000000004</v>
      </c>
      <c r="D70" s="2">
        <v>0</v>
      </c>
      <c r="E70" s="4" t="s">
        <v>18</v>
      </c>
      <c r="F70" s="2">
        <v>0.79</v>
      </c>
      <c r="G70" s="2">
        <v>640</v>
      </c>
      <c r="H70" s="2">
        <v>180</v>
      </c>
      <c r="I70" s="2">
        <v>4.22</v>
      </c>
      <c r="J70" s="2">
        <v>4.2949999999999999</v>
      </c>
      <c r="K70" s="2">
        <v>4.4260000000000002</v>
      </c>
      <c r="L70" s="2">
        <v>4.4260000000000002</v>
      </c>
      <c r="M70" s="2">
        <v>0</v>
      </c>
      <c r="N70" s="2">
        <v>4.4340000000000002</v>
      </c>
      <c r="O70" s="2">
        <v>-8.9999999999999993E-3</v>
      </c>
      <c r="P70" s="2">
        <v>-0.2</v>
      </c>
    </row>
    <row r="71" spans="1:16" x14ac:dyDescent="0.35">
      <c r="A71" s="2">
        <v>70</v>
      </c>
      <c r="B71" s="2" t="s">
        <v>20</v>
      </c>
      <c r="C71" s="2">
        <v>4.4847999999999999</v>
      </c>
      <c r="D71" s="2">
        <v>0</v>
      </c>
      <c r="E71" s="4" t="s">
        <v>18</v>
      </c>
      <c r="F71" s="2">
        <v>0.79</v>
      </c>
      <c r="G71" s="2">
        <v>640</v>
      </c>
      <c r="H71" s="2">
        <v>180</v>
      </c>
      <c r="I71" s="2">
        <v>4.22</v>
      </c>
      <c r="J71" s="2">
        <v>4.2949999999999999</v>
      </c>
      <c r="K71" s="2">
        <v>4.4260000000000002</v>
      </c>
      <c r="L71" s="2">
        <v>4.4260000000000002</v>
      </c>
      <c r="M71" s="2">
        <v>0</v>
      </c>
      <c r="N71" s="2">
        <v>4.4340000000000002</v>
      </c>
      <c r="O71" s="2">
        <v>-8.9999999999999993E-3</v>
      </c>
      <c r="P71" s="2">
        <v>-0.2</v>
      </c>
    </row>
    <row r="72" spans="1:16" x14ac:dyDescent="0.35">
      <c r="A72" s="2">
        <v>71</v>
      </c>
      <c r="B72" s="2" t="s">
        <v>20</v>
      </c>
      <c r="C72" s="2">
        <v>4.5354000000000001</v>
      </c>
      <c r="D72" s="2">
        <v>0</v>
      </c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72</v>
      </c>
      <c r="B73" s="2" t="s">
        <v>20</v>
      </c>
      <c r="C73" s="2">
        <v>4.5858999999999996</v>
      </c>
      <c r="D73" s="2">
        <v>0</v>
      </c>
      <c r="E73" s="4" t="s">
        <v>18</v>
      </c>
      <c r="F73" s="2">
        <v>0.76</v>
      </c>
      <c r="G73" s="2">
        <v>640</v>
      </c>
      <c r="H73" s="2">
        <v>179</v>
      </c>
      <c r="I73" s="2">
        <v>4.3159999999999998</v>
      </c>
      <c r="J73" s="2">
        <v>4.391</v>
      </c>
      <c r="K73" s="2">
        <v>4.5270000000000001</v>
      </c>
      <c r="L73" s="2">
        <v>4.5270000000000001</v>
      </c>
      <c r="M73" s="2">
        <v>0</v>
      </c>
      <c r="N73" s="2">
        <v>4.5350000000000001</v>
      </c>
      <c r="O73" s="2">
        <v>-8.0000000000000002E-3</v>
      </c>
      <c r="P73" s="2">
        <v>-0.2</v>
      </c>
    </row>
    <row r="74" spans="1:16" x14ac:dyDescent="0.35">
      <c r="A74" s="2">
        <v>73</v>
      </c>
      <c r="B74" s="2" t="s">
        <v>20</v>
      </c>
      <c r="C74" s="2">
        <v>4.6364000000000001</v>
      </c>
      <c r="D74" s="2">
        <v>0</v>
      </c>
      <c r="E74" s="4" t="s">
        <v>18</v>
      </c>
      <c r="F74" s="2">
        <v>0.69</v>
      </c>
      <c r="G74" s="2">
        <v>640</v>
      </c>
      <c r="H74" s="2">
        <v>178</v>
      </c>
      <c r="I74" s="2">
        <v>4.3630000000000004</v>
      </c>
      <c r="J74" s="2">
        <v>4.4379999999999997</v>
      </c>
      <c r="K74" s="2">
        <v>4.5780000000000003</v>
      </c>
      <c r="L74" s="2">
        <v>4.5780000000000003</v>
      </c>
      <c r="M74" s="2">
        <v>0</v>
      </c>
      <c r="N74" s="2">
        <v>4.6360000000000001</v>
      </c>
      <c r="O74" s="2">
        <v>-5.8999999999999997E-2</v>
      </c>
      <c r="P74" s="2">
        <v>-1.3</v>
      </c>
    </row>
    <row r="75" spans="1:16" x14ac:dyDescent="0.35">
      <c r="A75" s="2">
        <v>74</v>
      </c>
      <c r="B75" s="2" t="s">
        <v>20</v>
      </c>
      <c r="C75" s="2">
        <v>4.6868999999999996</v>
      </c>
      <c r="D75" s="2">
        <v>0</v>
      </c>
      <c r="E75" s="4" t="s">
        <v>18</v>
      </c>
      <c r="F75" s="2">
        <v>0.62</v>
      </c>
      <c r="G75" s="2">
        <v>640</v>
      </c>
      <c r="H75" s="2">
        <v>178</v>
      </c>
      <c r="I75" s="2">
        <v>4.4610000000000003</v>
      </c>
      <c r="J75" s="2">
        <v>4.5359999999999996</v>
      </c>
      <c r="K75" s="2">
        <v>4.6790000000000003</v>
      </c>
      <c r="L75" s="2">
        <v>4.6790000000000003</v>
      </c>
      <c r="M75" s="2">
        <v>0</v>
      </c>
      <c r="N75" s="2">
        <v>4.6870000000000003</v>
      </c>
      <c r="O75" s="2">
        <v>-8.0000000000000002E-3</v>
      </c>
      <c r="P75" s="2">
        <v>-0.2</v>
      </c>
    </row>
    <row r="76" spans="1:16" x14ac:dyDescent="0.35">
      <c r="A76" s="2">
        <v>75</v>
      </c>
      <c r="B76" s="2" t="s">
        <v>20</v>
      </c>
      <c r="C76" s="2">
        <v>4.7374000000000001</v>
      </c>
      <c r="D76" s="2">
        <v>0</v>
      </c>
      <c r="E76" s="4" t="s">
        <v>18</v>
      </c>
      <c r="F76" s="2">
        <v>0.62</v>
      </c>
      <c r="G76" s="2">
        <v>640</v>
      </c>
      <c r="H76" s="2">
        <v>178</v>
      </c>
      <c r="I76" s="2">
        <v>4.4610000000000003</v>
      </c>
      <c r="J76" s="2">
        <v>4.5359999999999996</v>
      </c>
      <c r="K76" s="2">
        <v>4.6790000000000003</v>
      </c>
      <c r="L76" s="2">
        <v>4.6790000000000003</v>
      </c>
      <c r="M76" s="2">
        <v>0</v>
      </c>
      <c r="N76" s="2">
        <v>4.6870000000000003</v>
      </c>
      <c r="O76" s="2">
        <v>-8.0000000000000002E-3</v>
      </c>
      <c r="P76" s="2">
        <v>-0.2</v>
      </c>
    </row>
    <row r="77" spans="1:16" x14ac:dyDescent="0.35">
      <c r="A77" s="2">
        <v>76</v>
      </c>
      <c r="B77" s="2" t="s">
        <v>20</v>
      </c>
      <c r="C77" s="2">
        <v>4.7878999999999996</v>
      </c>
      <c r="D77" s="2">
        <v>0</v>
      </c>
      <c r="E77" s="4" t="s">
        <v>18</v>
      </c>
      <c r="F77" s="2">
        <v>0.61</v>
      </c>
      <c r="G77" s="2">
        <v>640</v>
      </c>
      <c r="H77" s="2">
        <v>176</v>
      </c>
      <c r="I77" s="2">
        <v>4.5540000000000003</v>
      </c>
      <c r="J77" s="2">
        <v>4.6289999999999996</v>
      </c>
      <c r="K77" s="2">
        <v>4.78</v>
      </c>
      <c r="L77" s="2">
        <v>4.78</v>
      </c>
      <c r="M77" s="2">
        <v>0</v>
      </c>
      <c r="N77" s="2">
        <v>4.7880000000000003</v>
      </c>
      <c r="O77" s="2">
        <v>-8.0000000000000002E-3</v>
      </c>
      <c r="P77" s="2">
        <v>-0.2</v>
      </c>
    </row>
    <row r="78" spans="1:16" x14ac:dyDescent="0.35">
      <c r="A78" s="2">
        <v>77</v>
      </c>
      <c r="B78" s="2" t="s">
        <v>20</v>
      </c>
      <c r="C78" s="2">
        <v>4.8384</v>
      </c>
      <c r="D78" s="2">
        <v>0</v>
      </c>
      <c r="E78" s="4" t="s">
        <v>18</v>
      </c>
      <c r="F78" s="2">
        <v>0.61</v>
      </c>
      <c r="G78" s="2">
        <v>640</v>
      </c>
      <c r="H78" s="2">
        <v>175</v>
      </c>
      <c r="I78" s="2">
        <v>4.601</v>
      </c>
      <c r="J78" s="2">
        <v>4.6760000000000002</v>
      </c>
      <c r="K78" s="2">
        <v>4.83</v>
      </c>
      <c r="L78" s="2">
        <v>4.83</v>
      </c>
      <c r="M78" s="2">
        <v>0</v>
      </c>
      <c r="N78" s="2">
        <v>4.8380000000000001</v>
      </c>
      <c r="O78" s="2">
        <v>-8.0000000000000002E-3</v>
      </c>
      <c r="P78" s="2">
        <v>-0.2</v>
      </c>
    </row>
    <row r="79" spans="1:16" x14ac:dyDescent="0.35">
      <c r="A79" s="2">
        <v>78</v>
      </c>
      <c r="B79" s="2" t="s">
        <v>20</v>
      </c>
      <c r="C79" s="2">
        <v>4.8888999999999996</v>
      </c>
      <c r="D79" s="2">
        <v>0</v>
      </c>
      <c r="E79" s="4" t="s">
        <v>18</v>
      </c>
      <c r="F79" s="2">
        <v>0.61</v>
      </c>
      <c r="G79" s="2">
        <v>640</v>
      </c>
      <c r="H79" s="2">
        <v>175</v>
      </c>
      <c r="I79" s="2">
        <v>4.601</v>
      </c>
      <c r="J79" s="2">
        <v>4.6760000000000002</v>
      </c>
      <c r="K79" s="2">
        <v>4.83</v>
      </c>
      <c r="L79" s="2">
        <v>4.83</v>
      </c>
      <c r="M79" s="2">
        <v>0</v>
      </c>
      <c r="N79" s="2">
        <v>4.8890000000000002</v>
      </c>
      <c r="O79" s="2">
        <v>-5.8999999999999997E-2</v>
      </c>
      <c r="P79" s="2">
        <v>-1.2</v>
      </c>
    </row>
    <row r="80" spans="1:16" x14ac:dyDescent="0.35">
      <c r="A80" s="2">
        <v>79</v>
      </c>
      <c r="B80" s="2" t="s">
        <v>20</v>
      </c>
      <c r="C80" s="2">
        <v>4.9394</v>
      </c>
      <c r="D80" s="2">
        <v>0</v>
      </c>
      <c r="E80" s="4" t="s">
        <v>18</v>
      </c>
      <c r="F80" s="2">
        <v>0.46</v>
      </c>
      <c r="G80" s="2">
        <v>640</v>
      </c>
      <c r="H80" s="2">
        <v>175</v>
      </c>
      <c r="I80" s="2">
        <v>4.6500000000000004</v>
      </c>
      <c r="J80" s="2">
        <v>4.7249999999999996</v>
      </c>
      <c r="K80" s="2">
        <v>4.8810000000000002</v>
      </c>
      <c r="L80" s="2">
        <v>4.8810000000000002</v>
      </c>
      <c r="M80" s="2">
        <v>0</v>
      </c>
      <c r="N80" s="2">
        <v>4.8890000000000002</v>
      </c>
      <c r="O80" s="2">
        <v>-8.0000000000000002E-3</v>
      </c>
      <c r="P80" s="2">
        <v>-0.2</v>
      </c>
    </row>
    <row r="81" spans="1:16" x14ac:dyDescent="0.35">
      <c r="A81" s="2">
        <v>80</v>
      </c>
      <c r="B81" s="2" t="s">
        <v>20</v>
      </c>
      <c r="C81" s="2">
        <v>4.9898999999999996</v>
      </c>
      <c r="D81" s="2">
        <v>0</v>
      </c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81</v>
      </c>
      <c r="B82" s="2" t="s">
        <v>20</v>
      </c>
      <c r="C82" s="2">
        <v>5.0404</v>
      </c>
      <c r="D82" s="2">
        <v>0</v>
      </c>
      <c r="E82" s="4" t="s">
        <v>18</v>
      </c>
      <c r="F82" s="2">
        <v>0.49</v>
      </c>
      <c r="G82" s="2">
        <v>640</v>
      </c>
      <c r="H82" s="2">
        <v>174</v>
      </c>
      <c r="I82" s="2">
        <v>4.7450000000000001</v>
      </c>
      <c r="J82" s="2">
        <v>4.82</v>
      </c>
      <c r="K82" s="2">
        <v>4.9820000000000002</v>
      </c>
      <c r="L82" s="2">
        <v>4.9820000000000002</v>
      </c>
      <c r="M82" s="2">
        <v>0</v>
      </c>
      <c r="N82" s="2">
        <v>4.99</v>
      </c>
      <c r="O82" s="2">
        <v>-8.0000000000000002E-3</v>
      </c>
      <c r="P82" s="2">
        <v>-0.2</v>
      </c>
    </row>
    <row r="83" spans="1:16" x14ac:dyDescent="0.35">
      <c r="A83" s="2">
        <v>82</v>
      </c>
      <c r="B83" s="2" t="s">
        <v>20</v>
      </c>
      <c r="C83" s="2">
        <v>5.0909000000000004</v>
      </c>
      <c r="D83" s="2">
        <v>0</v>
      </c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83</v>
      </c>
      <c r="B84" s="2" t="s">
        <v>20</v>
      </c>
      <c r="C84" s="2">
        <v>5.1414</v>
      </c>
      <c r="D84" s="2">
        <v>0</v>
      </c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84</v>
      </c>
      <c r="B85" s="2" t="s">
        <v>20</v>
      </c>
      <c r="C85" s="2">
        <v>5.1919000000000004</v>
      </c>
      <c r="D85" s="2">
        <v>0</v>
      </c>
      <c r="E85" s="4" t="s">
        <v>18</v>
      </c>
      <c r="F85" s="2">
        <v>0.46</v>
      </c>
      <c r="G85" s="2">
        <v>640</v>
      </c>
      <c r="H85" s="2">
        <v>170</v>
      </c>
      <c r="I85" s="2">
        <v>4.931</v>
      </c>
      <c r="J85" s="2">
        <v>5.0060000000000002</v>
      </c>
      <c r="K85" s="2">
        <v>5.1840000000000002</v>
      </c>
      <c r="L85" s="2">
        <v>5.1840000000000002</v>
      </c>
      <c r="M85" s="2">
        <v>0</v>
      </c>
      <c r="N85" s="2">
        <v>5.1920000000000002</v>
      </c>
      <c r="O85" s="2">
        <v>-8.0000000000000002E-3</v>
      </c>
      <c r="P85" s="2">
        <v>-0.2</v>
      </c>
    </row>
    <row r="86" spans="1:16" x14ac:dyDescent="0.35">
      <c r="A86" s="2">
        <v>85</v>
      </c>
      <c r="B86" s="2" t="s">
        <v>20</v>
      </c>
      <c r="C86" s="2">
        <v>5.2423999999999999</v>
      </c>
      <c r="D86" s="2">
        <v>0</v>
      </c>
      <c r="E86" s="4" t="s">
        <v>18</v>
      </c>
      <c r="F86" s="2">
        <v>0.46</v>
      </c>
      <c r="G86" s="2">
        <v>640</v>
      </c>
      <c r="H86" s="2">
        <v>170</v>
      </c>
      <c r="I86" s="2">
        <v>4.931</v>
      </c>
      <c r="J86" s="2">
        <v>5.0060000000000002</v>
      </c>
      <c r="K86" s="2">
        <v>5.1840000000000002</v>
      </c>
      <c r="L86" s="2">
        <v>5.1840000000000002</v>
      </c>
      <c r="M86" s="2">
        <v>0</v>
      </c>
      <c r="N86" s="2">
        <v>5.242</v>
      </c>
      <c r="O86" s="2">
        <v>-5.8000000000000003E-2</v>
      </c>
      <c r="P86" s="2">
        <v>-1.1000000000000001</v>
      </c>
    </row>
    <row r="87" spans="1:16" x14ac:dyDescent="0.35">
      <c r="A87" s="2">
        <v>86</v>
      </c>
      <c r="B87" s="2" t="s">
        <v>20</v>
      </c>
      <c r="C87" s="2">
        <v>5.2929000000000004</v>
      </c>
      <c r="D87" s="2">
        <v>0</v>
      </c>
      <c r="E87" s="4" t="s">
        <v>18</v>
      </c>
      <c r="F87" s="2">
        <v>0.31</v>
      </c>
      <c r="G87" s="2">
        <v>639</v>
      </c>
      <c r="H87" s="2">
        <v>169</v>
      </c>
      <c r="I87" s="2">
        <v>5.0259999999999998</v>
      </c>
      <c r="J87" s="2">
        <v>5.101</v>
      </c>
      <c r="K87" s="2">
        <v>5.2850000000000001</v>
      </c>
      <c r="L87" s="2">
        <v>5.2850000000000001</v>
      </c>
      <c r="M87" s="2">
        <v>8.0000000000000002E-3</v>
      </c>
      <c r="N87" s="2">
        <v>5.2930000000000001</v>
      </c>
      <c r="O87" s="2">
        <v>-8.0000000000000002E-3</v>
      </c>
      <c r="P87" s="2">
        <v>-0.1</v>
      </c>
    </row>
    <row r="88" spans="1:16" x14ac:dyDescent="0.35">
      <c r="A88" s="2">
        <v>87</v>
      </c>
      <c r="B88" s="2" t="s">
        <v>20</v>
      </c>
      <c r="C88" s="2">
        <v>5.3433999999999999</v>
      </c>
      <c r="D88" s="2">
        <v>0</v>
      </c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88</v>
      </c>
      <c r="B89" s="2" t="s">
        <v>20</v>
      </c>
      <c r="C89" s="2">
        <v>5.3939000000000004</v>
      </c>
      <c r="D89" s="2">
        <v>0</v>
      </c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89</v>
      </c>
      <c r="B90" s="2" t="s">
        <v>20</v>
      </c>
      <c r="C90" s="2">
        <v>5.4443999999999999</v>
      </c>
      <c r="D90" s="2">
        <v>0</v>
      </c>
      <c r="E90" s="4" t="s">
        <v>18</v>
      </c>
      <c r="F90" s="2">
        <v>0.3</v>
      </c>
      <c r="G90" s="2">
        <v>639</v>
      </c>
      <c r="H90" s="2">
        <v>168</v>
      </c>
      <c r="I90" s="2">
        <v>5.17</v>
      </c>
      <c r="J90" s="2">
        <v>5.2450000000000001</v>
      </c>
      <c r="K90" s="2">
        <v>5.4370000000000003</v>
      </c>
      <c r="L90" s="2">
        <v>5.4370000000000003</v>
      </c>
      <c r="M90" s="2">
        <v>8.0000000000000002E-3</v>
      </c>
      <c r="N90" s="2">
        <v>5.444</v>
      </c>
      <c r="O90" s="2">
        <v>-8.0000000000000002E-3</v>
      </c>
      <c r="P90" s="2">
        <v>-0.1</v>
      </c>
    </row>
    <row r="91" spans="1:16" x14ac:dyDescent="0.35">
      <c r="A91" s="2">
        <v>90</v>
      </c>
      <c r="B91" s="2" t="s">
        <v>20</v>
      </c>
      <c r="C91" s="2">
        <v>5.4949000000000003</v>
      </c>
      <c r="D91" s="2">
        <v>0</v>
      </c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91</v>
      </c>
      <c r="B92" s="2" t="s">
        <v>20</v>
      </c>
      <c r="C92" s="2">
        <v>5.5454999999999997</v>
      </c>
      <c r="D92" s="2">
        <v>0</v>
      </c>
      <c r="E92" s="4" t="s">
        <v>18</v>
      </c>
      <c r="F92" s="2">
        <v>0.34</v>
      </c>
      <c r="G92" s="2">
        <v>639</v>
      </c>
      <c r="H92" s="2">
        <v>166</v>
      </c>
      <c r="I92" s="2">
        <v>5.2619999999999996</v>
      </c>
      <c r="J92" s="2">
        <v>5.3369999999999997</v>
      </c>
      <c r="K92" s="2">
        <v>5.5380000000000003</v>
      </c>
      <c r="L92" s="2">
        <v>5.5380000000000003</v>
      </c>
      <c r="M92" s="2">
        <v>8.0000000000000002E-3</v>
      </c>
      <c r="N92" s="2">
        <v>5.5460000000000003</v>
      </c>
      <c r="O92" s="2">
        <v>-8.0000000000000002E-3</v>
      </c>
      <c r="P92" s="2">
        <v>-0.1</v>
      </c>
    </row>
    <row r="93" spans="1:16" x14ac:dyDescent="0.35">
      <c r="A93" s="2">
        <v>92</v>
      </c>
      <c r="B93" s="2" t="s">
        <v>20</v>
      </c>
      <c r="C93" s="2">
        <v>5.5960000000000001</v>
      </c>
      <c r="D93" s="2">
        <v>0</v>
      </c>
      <c r="E93" s="4" t="s">
        <v>18</v>
      </c>
      <c r="F93" s="2">
        <v>0.47</v>
      </c>
      <c r="G93" s="2">
        <v>639</v>
      </c>
      <c r="H93" s="2">
        <v>166</v>
      </c>
      <c r="I93" s="2">
        <v>5.3109999999999999</v>
      </c>
      <c r="J93" s="2">
        <v>5.3860000000000001</v>
      </c>
      <c r="K93" s="2">
        <v>5.5880000000000001</v>
      </c>
      <c r="L93" s="2">
        <v>5.5880000000000001</v>
      </c>
      <c r="M93" s="2">
        <v>8.0000000000000002E-3</v>
      </c>
      <c r="N93" s="2">
        <v>5.5960000000000001</v>
      </c>
      <c r="O93" s="2">
        <v>-8.0000000000000002E-3</v>
      </c>
      <c r="P93" s="2">
        <v>-0.1</v>
      </c>
    </row>
    <row r="94" spans="1:16" x14ac:dyDescent="0.35">
      <c r="A94" s="2">
        <v>93</v>
      </c>
      <c r="B94" s="2" t="s">
        <v>20</v>
      </c>
      <c r="C94" s="2">
        <v>5.6464999999999996</v>
      </c>
      <c r="D94" s="2">
        <v>0</v>
      </c>
      <c r="E94" s="4" t="s">
        <v>18</v>
      </c>
      <c r="F94" s="2">
        <v>0.47</v>
      </c>
      <c r="G94" s="2">
        <v>639</v>
      </c>
      <c r="H94" s="2">
        <v>166</v>
      </c>
      <c r="I94" s="2">
        <v>5.3109999999999999</v>
      </c>
      <c r="J94" s="2">
        <v>5.3860000000000001</v>
      </c>
      <c r="K94" s="2">
        <v>5.5880000000000001</v>
      </c>
      <c r="L94" s="2">
        <v>5.5880000000000001</v>
      </c>
      <c r="M94" s="2">
        <v>8.0000000000000002E-3</v>
      </c>
      <c r="N94" s="2">
        <v>5.6470000000000002</v>
      </c>
      <c r="O94" s="2">
        <v>-5.8000000000000003E-2</v>
      </c>
      <c r="P94" s="2">
        <v>-1</v>
      </c>
    </row>
    <row r="95" spans="1:16" x14ac:dyDescent="0.35">
      <c r="A95" s="2">
        <v>94</v>
      </c>
      <c r="B95" s="2" t="s">
        <v>20</v>
      </c>
      <c r="C95" s="2">
        <v>5.6970000000000001</v>
      </c>
      <c r="D95" s="2">
        <v>0</v>
      </c>
      <c r="E95" s="4" t="s">
        <v>18</v>
      </c>
      <c r="F95" s="2">
        <v>0.35</v>
      </c>
      <c r="G95" s="2">
        <v>639</v>
      </c>
      <c r="H95" s="2">
        <v>164</v>
      </c>
      <c r="I95" s="2">
        <v>5.4029999999999996</v>
      </c>
      <c r="J95" s="2">
        <v>5.4779999999999998</v>
      </c>
      <c r="K95" s="2">
        <v>5.69</v>
      </c>
      <c r="L95" s="2">
        <v>5.69</v>
      </c>
      <c r="M95" s="2">
        <v>8.0000000000000002E-3</v>
      </c>
      <c r="N95" s="2">
        <v>5.6970000000000001</v>
      </c>
      <c r="O95" s="2">
        <v>-7.0000000000000001E-3</v>
      </c>
      <c r="P95" s="2">
        <v>-0.1</v>
      </c>
    </row>
    <row r="96" spans="1:16" x14ac:dyDescent="0.35">
      <c r="A96" s="2">
        <v>95</v>
      </c>
      <c r="B96" s="2" t="s">
        <v>20</v>
      </c>
      <c r="C96" s="2">
        <v>5.7474999999999996</v>
      </c>
      <c r="D96" s="2">
        <v>0</v>
      </c>
      <c r="E96" s="4" t="s">
        <v>18</v>
      </c>
      <c r="F96" s="2">
        <v>0.35</v>
      </c>
      <c r="G96" s="2">
        <v>639</v>
      </c>
      <c r="H96" s="2">
        <v>164</v>
      </c>
      <c r="I96" s="2">
        <v>5.4029999999999996</v>
      </c>
      <c r="J96" s="2">
        <v>5.4779999999999998</v>
      </c>
      <c r="K96" s="2">
        <v>5.69</v>
      </c>
      <c r="L96" s="2">
        <v>5.69</v>
      </c>
      <c r="M96" s="2">
        <v>8.0000000000000002E-3</v>
      </c>
      <c r="N96" s="2">
        <v>5.6970000000000001</v>
      </c>
      <c r="O96" s="2">
        <v>-7.0000000000000001E-3</v>
      </c>
      <c r="P96" s="2">
        <v>-0.1</v>
      </c>
    </row>
    <row r="97" spans="1:16" x14ac:dyDescent="0.35">
      <c r="A97" s="2">
        <v>96</v>
      </c>
      <c r="B97" s="2" t="s">
        <v>20</v>
      </c>
      <c r="C97" s="2">
        <v>5.798</v>
      </c>
      <c r="D97" s="2">
        <v>0</v>
      </c>
      <c r="E97" s="4" t="s">
        <v>18</v>
      </c>
      <c r="F97" s="2">
        <v>0.28000000000000003</v>
      </c>
      <c r="G97" s="2">
        <v>639</v>
      </c>
      <c r="H97" s="2">
        <v>164</v>
      </c>
      <c r="I97" s="2">
        <v>5.5</v>
      </c>
      <c r="J97" s="2">
        <v>5.5750000000000002</v>
      </c>
      <c r="K97" s="2">
        <v>5.7910000000000004</v>
      </c>
      <c r="L97" s="2">
        <v>5.7910000000000004</v>
      </c>
      <c r="M97" s="2">
        <v>8.0000000000000002E-3</v>
      </c>
      <c r="N97" s="2">
        <v>5.798</v>
      </c>
      <c r="O97" s="2">
        <v>-7.0000000000000001E-3</v>
      </c>
      <c r="P97" s="2">
        <v>-0.1</v>
      </c>
    </row>
    <row r="98" spans="1:16" x14ac:dyDescent="0.35">
      <c r="A98" s="2">
        <v>97</v>
      </c>
      <c r="B98" s="2" t="s">
        <v>20</v>
      </c>
      <c r="C98" s="2">
        <v>5.8484999999999996</v>
      </c>
      <c r="D98" s="2">
        <v>0</v>
      </c>
      <c r="E98" s="4" t="s">
        <v>18</v>
      </c>
      <c r="F98" s="2">
        <v>0.39</v>
      </c>
      <c r="G98" s="2">
        <v>639</v>
      </c>
      <c r="H98" s="2">
        <v>163</v>
      </c>
      <c r="I98" s="2">
        <v>5.5460000000000003</v>
      </c>
      <c r="J98" s="2">
        <v>5.6210000000000004</v>
      </c>
      <c r="K98" s="2">
        <v>5.8410000000000002</v>
      </c>
      <c r="L98" s="2">
        <v>5.8410000000000002</v>
      </c>
      <c r="M98" s="2">
        <v>8.0000000000000002E-3</v>
      </c>
      <c r="N98" s="2">
        <v>5.8490000000000002</v>
      </c>
      <c r="O98" s="2">
        <v>-7.0000000000000001E-3</v>
      </c>
      <c r="P98" s="2">
        <v>-0.1</v>
      </c>
    </row>
    <row r="99" spans="1:16" x14ac:dyDescent="0.35">
      <c r="A99" s="2">
        <v>98</v>
      </c>
      <c r="B99" s="2" t="s">
        <v>20</v>
      </c>
      <c r="C99" s="2">
        <v>5.899</v>
      </c>
      <c r="D99" s="2">
        <v>0</v>
      </c>
      <c r="E99" s="4" t="s">
        <v>18</v>
      </c>
      <c r="F99" s="2">
        <v>0.39</v>
      </c>
      <c r="G99" s="2">
        <v>639</v>
      </c>
      <c r="H99" s="2">
        <v>163</v>
      </c>
      <c r="I99" s="2">
        <v>5.5460000000000003</v>
      </c>
      <c r="J99" s="2">
        <v>5.6210000000000004</v>
      </c>
      <c r="K99" s="2">
        <v>5.8410000000000002</v>
      </c>
      <c r="L99" s="2">
        <v>5.8410000000000002</v>
      </c>
      <c r="M99" s="2">
        <v>8.0000000000000002E-3</v>
      </c>
      <c r="N99" s="2">
        <v>5.8490000000000002</v>
      </c>
      <c r="O99" s="2">
        <v>-7.0000000000000001E-3</v>
      </c>
      <c r="P99" s="2">
        <v>-0.1</v>
      </c>
    </row>
    <row r="100" spans="1:16" x14ac:dyDescent="0.35">
      <c r="A100" s="2">
        <v>99</v>
      </c>
      <c r="B100" s="2" t="s">
        <v>20</v>
      </c>
      <c r="C100" s="2">
        <v>5.9494999999999996</v>
      </c>
      <c r="D100" s="2">
        <v>0</v>
      </c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100</v>
      </c>
      <c r="B101" s="2" t="s">
        <v>20</v>
      </c>
      <c r="C101" s="2">
        <v>6</v>
      </c>
      <c r="D101" s="2">
        <v>0</v>
      </c>
      <c r="E101" s="4" t="s">
        <v>18</v>
      </c>
      <c r="F101" s="2">
        <v>0.28999999999999998</v>
      </c>
      <c r="G101" s="2">
        <v>639</v>
      </c>
      <c r="H101" s="2">
        <v>162</v>
      </c>
      <c r="I101" s="2">
        <v>5.64</v>
      </c>
      <c r="J101" s="2">
        <v>5.7149999999999999</v>
      </c>
      <c r="K101" s="2">
        <v>5.9420000000000002</v>
      </c>
      <c r="L101" s="2">
        <v>5.9420000000000002</v>
      </c>
      <c r="M101" s="2">
        <v>8.0000000000000002E-3</v>
      </c>
      <c r="N101" s="2">
        <v>5.95</v>
      </c>
      <c r="O101" s="2">
        <v>-7.0000000000000001E-3</v>
      </c>
      <c r="P101" s="2">
        <v>-0.1</v>
      </c>
    </row>
    <row r="102" spans="1:16" x14ac:dyDescent="0.35">
      <c r="A102" s="2">
        <v>101</v>
      </c>
      <c r="B102" s="2" t="s">
        <v>21</v>
      </c>
      <c r="C102" s="2">
        <v>3</v>
      </c>
      <c r="D102" s="2">
        <v>-3.5</v>
      </c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102</v>
      </c>
      <c r="B103" s="2" t="s">
        <v>21</v>
      </c>
      <c r="C103" s="2">
        <v>3</v>
      </c>
      <c r="D103" s="2">
        <v>-3.3986000000000001</v>
      </c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103</v>
      </c>
      <c r="B104" s="2" t="s">
        <v>21</v>
      </c>
      <c r="C104" s="2">
        <v>3</v>
      </c>
      <c r="D104" s="2">
        <v>-3.2970999999999999</v>
      </c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104</v>
      </c>
      <c r="B105" s="2" t="s">
        <v>21</v>
      </c>
      <c r="C105" s="2">
        <v>3</v>
      </c>
      <c r="D105" s="2">
        <v>-3.1957</v>
      </c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105</v>
      </c>
      <c r="B106" s="2" t="s">
        <v>21</v>
      </c>
      <c r="C106" s="2">
        <v>3</v>
      </c>
      <c r="D106" s="2">
        <v>-3.0941999999999998</v>
      </c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106</v>
      </c>
      <c r="B107" s="2" t="s">
        <v>21</v>
      </c>
      <c r="C107" s="2">
        <v>3</v>
      </c>
      <c r="D107" s="2">
        <v>-2.9927999999999999</v>
      </c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107</v>
      </c>
      <c r="B108" s="2" t="s">
        <v>21</v>
      </c>
      <c r="C108" s="2">
        <v>3</v>
      </c>
      <c r="D108" s="2">
        <v>-2.8913000000000002</v>
      </c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108</v>
      </c>
      <c r="B109" s="2" t="s">
        <v>21</v>
      </c>
      <c r="C109" s="2">
        <v>3</v>
      </c>
      <c r="D109" s="2">
        <v>-2.7898999999999998</v>
      </c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109</v>
      </c>
      <c r="B110" s="2" t="s">
        <v>21</v>
      </c>
      <c r="C110" s="2">
        <v>3</v>
      </c>
      <c r="D110" s="2">
        <v>-2.6884000000000001</v>
      </c>
      <c r="E110" s="4" t="s">
        <v>18</v>
      </c>
      <c r="F110" s="2">
        <v>0.33</v>
      </c>
      <c r="G110" s="2">
        <v>1238</v>
      </c>
      <c r="H110" s="2">
        <v>213</v>
      </c>
      <c r="I110" s="2">
        <v>2.9449999999999998</v>
      </c>
      <c r="J110" s="2">
        <v>3.02</v>
      </c>
      <c r="K110" s="2">
        <v>4.0670000000000002</v>
      </c>
      <c r="L110" s="2">
        <v>3.0609999999999999</v>
      </c>
      <c r="M110" s="2">
        <v>-2.6779999999999999</v>
      </c>
      <c r="N110" s="2">
        <v>4.0279999999999996</v>
      </c>
      <c r="O110" s="2">
        <v>3.9E-2</v>
      </c>
      <c r="P110" s="2">
        <v>1</v>
      </c>
    </row>
    <row r="111" spans="1:16" x14ac:dyDescent="0.35">
      <c r="A111" s="2">
        <v>110</v>
      </c>
      <c r="B111" s="2" t="s">
        <v>21</v>
      </c>
      <c r="C111" s="2">
        <v>3</v>
      </c>
      <c r="D111" s="2">
        <v>-2.5870000000000002</v>
      </c>
      <c r="E111" s="4" t="s">
        <v>18</v>
      </c>
      <c r="F111" s="2">
        <v>0.33</v>
      </c>
      <c r="G111" s="2">
        <v>1238</v>
      </c>
      <c r="H111" s="2">
        <v>213</v>
      </c>
      <c r="I111" s="2">
        <v>2.9449999999999998</v>
      </c>
      <c r="J111" s="2">
        <v>3.02</v>
      </c>
      <c r="K111" s="2">
        <v>4.0670000000000002</v>
      </c>
      <c r="L111" s="2">
        <v>3.0609999999999999</v>
      </c>
      <c r="M111" s="2">
        <v>-2.6779999999999999</v>
      </c>
      <c r="N111" s="2">
        <v>3.9609999999999999</v>
      </c>
      <c r="O111" s="2">
        <v>0.106</v>
      </c>
      <c r="P111" s="2">
        <v>2.7</v>
      </c>
    </row>
    <row r="112" spans="1:16" x14ac:dyDescent="0.35">
      <c r="A112" s="2">
        <v>111</v>
      </c>
      <c r="B112" s="2" t="s">
        <v>21</v>
      </c>
      <c r="C112" s="2">
        <v>3</v>
      </c>
      <c r="D112" s="2">
        <v>-2.4855</v>
      </c>
      <c r="E112" s="4" t="s">
        <v>18</v>
      </c>
      <c r="F112" s="2">
        <v>0.73</v>
      </c>
      <c r="G112" s="2">
        <v>1228</v>
      </c>
      <c r="H112" s="2">
        <v>211</v>
      </c>
      <c r="I112" s="2">
        <v>2.8759999999999999</v>
      </c>
      <c r="J112" s="2">
        <v>2.9510000000000001</v>
      </c>
      <c r="K112" s="2">
        <v>3.948</v>
      </c>
      <c r="L112" s="2">
        <v>2.9940000000000002</v>
      </c>
      <c r="M112" s="2">
        <v>-2.573</v>
      </c>
      <c r="N112" s="2">
        <v>3.8959999999999999</v>
      </c>
      <c r="O112" s="2">
        <v>5.1999999999999998E-2</v>
      </c>
      <c r="P112" s="2">
        <v>1.3</v>
      </c>
    </row>
    <row r="113" spans="1:16" x14ac:dyDescent="0.35">
      <c r="A113" s="2">
        <v>112</v>
      </c>
      <c r="B113" s="2" t="s">
        <v>21</v>
      </c>
      <c r="C113" s="2">
        <v>3</v>
      </c>
      <c r="D113" s="2">
        <v>-2.3841000000000001</v>
      </c>
      <c r="E113" s="4" t="s">
        <v>18</v>
      </c>
      <c r="F113" s="2">
        <v>0.59</v>
      </c>
      <c r="G113" s="2">
        <v>1203</v>
      </c>
      <c r="H113" s="2">
        <v>212</v>
      </c>
      <c r="I113" s="2">
        <v>2.903</v>
      </c>
      <c r="J113" s="2">
        <v>2.9780000000000002</v>
      </c>
      <c r="K113" s="2">
        <v>3.9119999999999999</v>
      </c>
      <c r="L113" s="2">
        <v>3.02</v>
      </c>
      <c r="M113" s="2">
        <v>-2.4860000000000002</v>
      </c>
      <c r="N113" s="2">
        <v>3.8319999999999999</v>
      </c>
      <c r="O113" s="2">
        <v>0.08</v>
      </c>
      <c r="P113" s="2">
        <v>2.1</v>
      </c>
    </row>
    <row r="114" spans="1:16" x14ac:dyDescent="0.35">
      <c r="A114" s="2">
        <v>113</v>
      </c>
      <c r="B114" s="2" t="s">
        <v>21</v>
      </c>
      <c r="C114" s="2">
        <v>3</v>
      </c>
      <c r="D114" s="2">
        <v>-2.2826</v>
      </c>
      <c r="E114" s="4" t="s">
        <v>18</v>
      </c>
      <c r="F114" s="2">
        <v>0.59</v>
      </c>
      <c r="G114" s="2">
        <v>1203</v>
      </c>
      <c r="H114" s="2">
        <v>212</v>
      </c>
      <c r="I114" s="2">
        <v>2.903</v>
      </c>
      <c r="J114" s="2">
        <v>2.9780000000000002</v>
      </c>
      <c r="K114" s="2">
        <v>3.9119999999999999</v>
      </c>
      <c r="L114" s="2">
        <v>3.02</v>
      </c>
      <c r="M114" s="2">
        <v>-2.4860000000000002</v>
      </c>
      <c r="N114" s="2">
        <v>3.8319999999999999</v>
      </c>
      <c r="O114" s="2">
        <v>0.08</v>
      </c>
      <c r="P114" s="2">
        <v>2.1</v>
      </c>
    </row>
    <row r="115" spans="1:16" x14ac:dyDescent="0.35">
      <c r="A115" s="2">
        <v>114</v>
      </c>
      <c r="B115" s="2" t="s">
        <v>21</v>
      </c>
      <c r="C115" s="2">
        <v>3</v>
      </c>
      <c r="D115" s="2">
        <v>-2.1812</v>
      </c>
      <c r="E115" s="4" t="s">
        <v>18</v>
      </c>
      <c r="F115" s="2">
        <v>0.65</v>
      </c>
      <c r="G115" s="2">
        <v>1158</v>
      </c>
      <c r="H115" s="2">
        <v>212</v>
      </c>
      <c r="I115" s="2">
        <v>2.8980000000000001</v>
      </c>
      <c r="J115" s="2">
        <v>2.9729999999999999</v>
      </c>
      <c r="K115" s="2">
        <v>3.7810000000000001</v>
      </c>
      <c r="L115" s="2">
        <v>3.0139999999999998</v>
      </c>
      <c r="M115" s="2">
        <v>-2.2829999999999999</v>
      </c>
      <c r="N115" s="2">
        <v>3.77</v>
      </c>
      <c r="O115" s="2">
        <v>1.0999999999999999E-2</v>
      </c>
      <c r="P115" s="2">
        <v>0.3</v>
      </c>
    </row>
    <row r="116" spans="1:16" x14ac:dyDescent="0.35">
      <c r="A116" s="2">
        <v>115</v>
      </c>
      <c r="B116" s="2" t="s">
        <v>21</v>
      </c>
      <c r="C116" s="2">
        <v>3</v>
      </c>
      <c r="D116" s="2">
        <v>-2.0796999999999999</v>
      </c>
      <c r="E116" s="4" t="s">
        <v>18</v>
      </c>
      <c r="F116" s="2">
        <v>0.79</v>
      </c>
      <c r="G116" s="2">
        <v>1136</v>
      </c>
      <c r="H116" s="2">
        <v>211</v>
      </c>
      <c r="I116" s="2">
        <v>2.8929999999999998</v>
      </c>
      <c r="J116" s="2">
        <v>2.968</v>
      </c>
      <c r="K116" s="2">
        <v>3.718</v>
      </c>
      <c r="L116" s="2">
        <v>3.01</v>
      </c>
      <c r="M116" s="2">
        <v>-2.1829999999999998</v>
      </c>
      <c r="N116" s="2">
        <v>3.7090000000000001</v>
      </c>
      <c r="O116" s="2">
        <v>8.9999999999999993E-3</v>
      </c>
      <c r="P116" s="2">
        <v>0.3</v>
      </c>
    </row>
    <row r="117" spans="1:16" x14ac:dyDescent="0.35">
      <c r="A117" s="2">
        <v>116</v>
      </c>
      <c r="B117" s="2" t="s">
        <v>21</v>
      </c>
      <c r="C117" s="2">
        <v>3</v>
      </c>
      <c r="D117" s="2">
        <v>-1.9782999999999999</v>
      </c>
      <c r="E117" s="4" t="s">
        <v>18</v>
      </c>
      <c r="F117" s="2">
        <v>0.8</v>
      </c>
      <c r="G117" s="2">
        <v>1110</v>
      </c>
      <c r="H117" s="2">
        <v>212</v>
      </c>
      <c r="I117" s="2">
        <v>2.9</v>
      </c>
      <c r="J117" s="2">
        <v>2.9750000000000001</v>
      </c>
      <c r="K117" s="2">
        <v>3.66</v>
      </c>
      <c r="L117" s="2">
        <v>3.016</v>
      </c>
      <c r="M117" s="2">
        <v>-2.073</v>
      </c>
      <c r="N117" s="2">
        <v>3.65</v>
      </c>
      <c r="O117" s="2">
        <v>8.9999999999999993E-3</v>
      </c>
      <c r="P117" s="2">
        <v>0.3</v>
      </c>
    </row>
    <row r="118" spans="1:16" x14ac:dyDescent="0.35">
      <c r="A118" s="2">
        <v>117</v>
      </c>
      <c r="B118" s="2" t="s">
        <v>21</v>
      </c>
      <c r="C118" s="2">
        <v>3</v>
      </c>
      <c r="D118" s="2">
        <v>-1.8768</v>
      </c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118</v>
      </c>
      <c r="B119" s="2" t="s">
        <v>21</v>
      </c>
      <c r="C119" s="2">
        <v>3</v>
      </c>
      <c r="D119" s="2">
        <v>-1.7754000000000001</v>
      </c>
      <c r="E119" s="4" t="s">
        <v>18</v>
      </c>
      <c r="F119" s="2">
        <v>0.78</v>
      </c>
      <c r="G119" s="2">
        <v>1064</v>
      </c>
      <c r="H119" s="2">
        <v>212</v>
      </c>
      <c r="I119" s="2">
        <v>2.8959999999999999</v>
      </c>
      <c r="J119" s="2">
        <v>2.9710000000000001</v>
      </c>
      <c r="K119" s="2">
        <v>3.5449999999999999</v>
      </c>
      <c r="L119" s="2">
        <v>3.0129999999999999</v>
      </c>
      <c r="M119" s="2">
        <v>-1.8680000000000001</v>
      </c>
      <c r="N119" s="2">
        <v>3.5390000000000001</v>
      </c>
      <c r="O119" s="2">
        <v>6.0000000000000001E-3</v>
      </c>
      <c r="P119" s="2">
        <v>0.2</v>
      </c>
    </row>
    <row r="120" spans="1:16" x14ac:dyDescent="0.35">
      <c r="A120" s="2">
        <v>119</v>
      </c>
      <c r="B120" s="2" t="s">
        <v>21</v>
      </c>
      <c r="C120" s="2">
        <v>3</v>
      </c>
      <c r="D120" s="2">
        <v>-1.6738999999999999</v>
      </c>
      <c r="E120" s="4" t="s">
        <v>18</v>
      </c>
      <c r="F120" s="2">
        <v>0.85</v>
      </c>
      <c r="G120" s="2">
        <v>1042</v>
      </c>
      <c r="H120" s="2">
        <v>212</v>
      </c>
      <c r="I120" s="2">
        <v>2.8919999999999999</v>
      </c>
      <c r="J120" s="2">
        <v>2.9670000000000001</v>
      </c>
      <c r="K120" s="2">
        <v>3.49</v>
      </c>
      <c r="L120" s="2">
        <v>3.0089999999999999</v>
      </c>
      <c r="M120" s="2">
        <v>-1.7689999999999999</v>
      </c>
      <c r="N120" s="2">
        <v>3.4860000000000002</v>
      </c>
      <c r="O120" s="2">
        <v>4.0000000000000001E-3</v>
      </c>
      <c r="P120" s="2">
        <v>0.1</v>
      </c>
    </row>
    <row r="121" spans="1:16" x14ac:dyDescent="0.35">
      <c r="A121" s="2">
        <v>120</v>
      </c>
      <c r="B121" s="2" t="s">
        <v>21</v>
      </c>
      <c r="C121" s="2">
        <v>3</v>
      </c>
      <c r="D121" s="2">
        <v>-1.5725</v>
      </c>
      <c r="E121" s="4" t="s">
        <v>18</v>
      </c>
      <c r="F121" s="2">
        <v>0.83</v>
      </c>
      <c r="G121" s="2">
        <v>1020</v>
      </c>
      <c r="H121" s="2">
        <v>212</v>
      </c>
      <c r="I121" s="2">
        <v>2.8879999999999999</v>
      </c>
      <c r="J121" s="2">
        <v>2.9630000000000001</v>
      </c>
      <c r="K121" s="2">
        <v>3.4369999999999998</v>
      </c>
      <c r="L121" s="2">
        <v>3.004</v>
      </c>
      <c r="M121" s="2">
        <v>-1.67</v>
      </c>
      <c r="N121" s="2">
        <v>3.387</v>
      </c>
      <c r="O121" s="2">
        <v>0.05</v>
      </c>
      <c r="P121" s="2">
        <v>1.5</v>
      </c>
    </row>
    <row r="122" spans="1:16" x14ac:dyDescent="0.35">
      <c r="A122" s="2">
        <v>121</v>
      </c>
      <c r="B122" s="2" t="s">
        <v>21</v>
      </c>
      <c r="C122" s="2">
        <v>3</v>
      </c>
      <c r="D122" s="2">
        <v>-1.4710000000000001</v>
      </c>
      <c r="E122" s="4" t="s">
        <v>18</v>
      </c>
      <c r="F122" s="2">
        <v>0.84</v>
      </c>
      <c r="G122" s="2">
        <v>995</v>
      </c>
      <c r="H122" s="2">
        <v>212</v>
      </c>
      <c r="I122" s="2">
        <v>2.891</v>
      </c>
      <c r="J122" s="2">
        <v>2.9660000000000002</v>
      </c>
      <c r="K122" s="2">
        <v>3.3889999999999998</v>
      </c>
      <c r="L122" s="2">
        <v>3.008</v>
      </c>
      <c r="M122" s="2">
        <v>-1.5609999999999999</v>
      </c>
      <c r="N122" s="2">
        <v>3.387</v>
      </c>
      <c r="O122" s="2">
        <v>2E-3</v>
      </c>
      <c r="P122" s="2">
        <v>0.1</v>
      </c>
    </row>
    <row r="123" spans="1:16" x14ac:dyDescent="0.35">
      <c r="A123" s="2">
        <v>122</v>
      </c>
      <c r="B123" s="2" t="s">
        <v>21</v>
      </c>
      <c r="C123" s="2">
        <v>3</v>
      </c>
      <c r="D123" s="2">
        <v>-1.3695999999999999</v>
      </c>
      <c r="E123" s="4" t="s">
        <v>18</v>
      </c>
      <c r="F123" s="2">
        <v>0.85</v>
      </c>
      <c r="G123" s="2">
        <v>973</v>
      </c>
      <c r="H123" s="2">
        <v>212</v>
      </c>
      <c r="I123" s="2">
        <v>2.887</v>
      </c>
      <c r="J123" s="2">
        <v>2.9620000000000002</v>
      </c>
      <c r="K123" s="2">
        <v>3.3410000000000002</v>
      </c>
      <c r="L123" s="2">
        <v>3.004</v>
      </c>
      <c r="M123" s="2">
        <v>-1.4630000000000001</v>
      </c>
      <c r="N123" s="2">
        <v>3.3410000000000002</v>
      </c>
      <c r="O123" s="2">
        <v>0</v>
      </c>
      <c r="P123" s="2">
        <v>0</v>
      </c>
    </row>
    <row r="124" spans="1:16" x14ac:dyDescent="0.35">
      <c r="A124" s="2">
        <v>123</v>
      </c>
      <c r="B124" s="2" t="s">
        <v>21</v>
      </c>
      <c r="C124" s="2">
        <v>3</v>
      </c>
      <c r="D124" s="2">
        <v>-1.2681</v>
      </c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35">
      <c r="A125" s="2">
        <v>124</v>
      </c>
      <c r="B125" s="2" t="s">
        <v>21</v>
      </c>
      <c r="C125" s="2">
        <v>3</v>
      </c>
      <c r="D125" s="2">
        <v>-1.1667000000000001</v>
      </c>
      <c r="E125" s="4" t="s">
        <v>18</v>
      </c>
      <c r="F125" s="2">
        <v>0.86</v>
      </c>
      <c r="G125" s="2">
        <v>927</v>
      </c>
      <c r="H125" s="2">
        <v>212</v>
      </c>
      <c r="I125" s="2">
        <v>2.8839999999999999</v>
      </c>
      <c r="J125" s="2">
        <v>2.9590000000000001</v>
      </c>
      <c r="K125" s="2">
        <v>3.254</v>
      </c>
      <c r="L125" s="2">
        <v>3.0009999999999999</v>
      </c>
      <c r="M125" s="2">
        <v>-1.2589999999999999</v>
      </c>
      <c r="N125" s="2">
        <v>3.2570000000000001</v>
      </c>
      <c r="O125" s="2">
        <v>-3.0000000000000001E-3</v>
      </c>
      <c r="P125" s="2">
        <v>-0.1</v>
      </c>
    </row>
    <row r="126" spans="1:16" x14ac:dyDescent="0.35">
      <c r="A126" s="2">
        <v>125</v>
      </c>
      <c r="B126" s="2" t="s">
        <v>21</v>
      </c>
      <c r="C126" s="2">
        <v>3</v>
      </c>
      <c r="D126" s="2">
        <v>-1.0651999999999999</v>
      </c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35">
      <c r="A127" s="2">
        <v>126</v>
      </c>
      <c r="B127" s="2" t="s">
        <v>21</v>
      </c>
      <c r="C127" s="2">
        <v>3</v>
      </c>
      <c r="D127" s="2">
        <v>-0.96379999999999999</v>
      </c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35">
      <c r="A128" s="2">
        <v>127</v>
      </c>
      <c r="B128" s="2" t="s">
        <v>21</v>
      </c>
      <c r="C128" s="2">
        <v>3</v>
      </c>
      <c r="D128" s="2">
        <v>-0.86229999999999996</v>
      </c>
      <c r="E128" s="4" t="s">
        <v>18</v>
      </c>
      <c r="F128" s="2">
        <v>0.88</v>
      </c>
      <c r="G128" s="2">
        <v>836</v>
      </c>
      <c r="H128" s="2">
        <v>212</v>
      </c>
      <c r="I128" s="2">
        <v>2.8780000000000001</v>
      </c>
      <c r="J128" s="2">
        <v>2.9529999999999998</v>
      </c>
      <c r="K128" s="2">
        <v>3.1139999999999999</v>
      </c>
      <c r="L128" s="2">
        <v>2.9940000000000002</v>
      </c>
      <c r="M128" s="2">
        <v>-0.85799999999999998</v>
      </c>
      <c r="N128" s="2">
        <v>3.121</v>
      </c>
      <c r="O128" s="2">
        <v>-7.0000000000000001E-3</v>
      </c>
      <c r="P128" s="2">
        <v>-0.2</v>
      </c>
    </row>
    <row r="129" spans="1:16" x14ac:dyDescent="0.35">
      <c r="A129" s="2">
        <v>128</v>
      </c>
      <c r="B129" s="2" t="s">
        <v>21</v>
      </c>
      <c r="C129" s="2">
        <v>3</v>
      </c>
      <c r="D129" s="2">
        <v>-0.76090000000000002</v>
      </c>
      <c r="E129" s="4" t="s">
        <v>18</v>
      </c>
      <c r="F129" s="2">
        <v>0.88</v>
      </c>
      <c r="G129" s="2">
        <v>836</v>
      </c>
      <c r="H129" s="2">
        <v>212</v>
      </c>
      <c r="I129" s="2">
        <v>4.5289999999999999</v>
      </c>
      <c r="J129" s="2">
        <v>4.6040000000000001</v>
      </c>
      <c r="K129" s="2">
        <v>4.8559999999999999</v>
      </c>
      <c r="L129" s="2">
        <v>4.6680000000000001</v>
      </c>
      <c r="M129" s="2">
        <v>-1.3380000000000001</v>
      </c>
      <c r="N129" s="2">
        <v>3.0950000000000002</v>
      </c>
      <c r="O129" s="2">
        <v>1.7609999999999999</v>
      </c>
      <c r="P129" s="2">
        <v>56.9</v>
      </c>
    </row>
    <row r="130" spans="1:16" x14ac:dyDescent="0.35">
      <c r="A130" s="2">
        <v>129</v>
      </c>
      <c r="B130" s="2" t="s">
        <v>21</v>
      </c>
      <c r="C130" s="2">
        <v>3</v>
      </c>
      <c r="D130" s="2">
        <v>-0.65939999999999999</v>
      </c>
      <c r="E130" s="4" t="s">
        <v>18</v>
      </c>
      <c r="F130" s="2">
        <v>0.86</v>
      </c>
      <c r="G130" s="2">
        <v>813</v>
      </c>
      <c r="H130" s="2">
        <v>212</v>
      </c>
      <c r="I130" s="2">
        <v>2.8769999999999998</v>
      </c>
      <c r="J130" s="2">
        <v>2.952</v>
      </c>
      <c r="K130" s="2">
        <v>3.0870000000000002</v>
      </c>
      <c r="L130" s="2">
        <v>2.9929999999999999</v>
      </c>
      <c r="M130" s="2">
        <v>-0.75700000000000001</v>
      </c>
      <c r="N130" s="2">
        <v>3.0950000000000002</v>
      </c>
      <c r="O130" s="2">
        <v>-8.0000000000000002E-3</v>
      </c>
      <c r="P130" s="2">
        <v>-0.3</v>
      </c>
    </row>
    <row r="131" spans="1:16" x14ac:dyDescent="0.35">
      <c r="A131" s="2">
        <v>130</v>
      </c>
      <c r="B131" s="2" t="s">
        <v>21</v>
      </c>
      <c r="C131" s="2">
        <v>3</v>
      </c>
      <c r="D131" s="2">
        <v>-0.55800000000000005</v>
      </c>
      <c r="E131" s="4" t="s">
        <v>18</v>
      </c>
      <c r="F131" s="2">
        <v>0.77</v>
      </c>
      <c r="G131" s="2">
        <v>766</v>
      </c>
      <c r="H131" s="2">
        <v>212</v>
      </c>
      <c r="I131" s="2">
        <v>2.8759999999999999</v>
      </c>
      <c r="J131" s="2">
        <v>2.9510000000000001</v>
      </c>
      <c r="K131" s="2">
        <v>3.0430000000000001</v>
      </c>
      <c r="L131" s="2">
        <v>2.992</v>
      </c>
      <c r="M131" s="2">
        <v>-0.55100000000000005</v>
      </c>
      <c r="N131" s="2">
        <v>3.0510000000000002</v>
      </c>
      <c r="O131" s="2">
        <v>-8.9999999999999993E-3</v>
      </c>
      <c r="P131" s="2">
        <v>-0.3</v>
      </c>
    </row>
    <row r="132" spans="1:16" x14ac:dyDescent="0.35">
      <c r="A132" s="2">
        <v>131</v>
      </c>
      <c r="B132" s="2" t="s">
        <v>21</v>
      </c>
      <c r="C132" s="2">
        <v>3</v>
      </c>
      <c r="D132" s="2">
        <v>-0.45650000000000002</v>
      </c>
      <c r="E132" s="4" t="s">
        <v>18</v>
      </c>
      <c r="F132" s="2">
        <v>0.82</v>
      </c>
      <c r="G132" s="2">
        <v>744</v>
      </c>
      <c r="H132" s="2">
        <v>212</v>
      </c>
      <c r="I132" s="2">
        <v>4.5289999999999999</v>
      </c>
      <c r="J132" s="2">
        <v>4.6040000000000001</v>
      </c>
      <c r="K132" s="2">
        <v>4.7220000000000004</v>
      </c>
      <c r="L132" s="2">
        <v>4.6680000000000001</v>
      </c>
      <c r="M132" s="2">
        <v>-0.71</v>
      </c>
      <c r="N132" s="2">
        <v>3.0350000000000001</v>
      </c>
      <c r="O132" s="2">
        <v>1.6870000000000001</v>
      </c>
      <c r="P132" s="2">
        <v>55.6</v>
      </c>
    </row>
    <row r="133" spans="1:16" x14ac:dyDescent="0.35">
      <c r="A133" s="2">
        <v>132</v>
      </c>
      <c r="B133" s="2" t="s">
        <v>21</v>
      </c>
      <c r="C133" s="2">
        <v>3</v>
      </c>
      <c r="D133" s="2">
        <v>-0.35510000000000003</v>
      </c>
      <c r="E133" s="4" t="s">
        <v>18</v>
      </c>
      <c r="F133" s="2">
        <v>0.82</v>
      </c>
      <c r="G133" s="2">
        <v>744</v>
      </c>
      <c r="H133" s="2">
        <v>212</v>
      </c>
      <c r="I133" s="2">
        <v>2.875</v>
      </c>
      <c r="J133" s="2">
        <v>2.95</v>
      </c>
      <c r="K133" s="2">
        <v>3.0249999999999999</v>
      </c>
      <c r="L133" s="2">
        <v>2.9910000000000001</v>
      </c>
      <c r="M133" s="2">
        <v>-0.45500000000000002</v>
      </c>
      <c r="N133" s="2">
        <v>3.0350000000000001</v>
      </c>
      <c r="O133" s="2">
        <v>-8.9999999999999993E-3</v>
      </c>
      <c r="P133" s="2">
        <v>-0.3</v>
      </c>
    </row>
    <row r="134" spans="1:16" x14ac:dyDescent="0.35">
      <c r="A134" s="2">
        <v>133</v>
      </c>
      <c r="B134" s="2" t="s">
        <v>21</v>
      </c>
      <c r="C134" s="2">
        <v>3</v>
      </c>
      <c r="D134" s="2">
        <v>-0.25359999999999999</v>
      </c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35">
      <c r="A135" s="2">
        <v>134</v>
      </c>
      <c r="B135" s="2" t="s">
        <v>21</v>
      </c>
      <c r="C135" s="2">
        <v>3</v>
      </c>
      <c r="D135" s="2">
        <v>-0.1522</v>
      </c>
      <c r="E135" s="4" t="s">
        <v>18</v>
      </c>
      <c r="F135" s="2">
        <v>0.82</v>
      </c>
      <c r="G135" s="2">
        <v>698</v>
      </c>
      <c r="H135" s="2">
        <v>212</v>
      </c>
      <c r="I135" s="2">
        <v>2.8740000000000001</v>
      </c>
      <c r="J135" s="2">
        <v>2.9489999999999998</v>
      </c>
      <c r="K135" s="2">
        <v>3.0009999999999999</v>
      </c>
      <c r="L135" s="2">
        <v>2.99</v>
      </c>
      <c r="M135" s="2">
        <v>-0.254</v>
      </c>
      <c r="N135" s="2">
        <v>3.0110000000000001</v>
      </c>
      <c r="O135" s="2">
        <v>-0.01</v>
      </c>
      <c r="P135" s="2">
        <v>-0.3</v>
      </c>
    </row>
    <row r="136" spans="1:16" x14ac:dyDescent="0.35">
      <c r="A136" s="2">
        <v>135</v>
      </c>
      <c r="B136" s="2" t="s">
        <v>21</v>
      </c>
      <c r="C136" s="2">
        <v>3</v>
      </c>
      <c r="D136" s="2">
        <v>-5.0700000000000002E-2</v>
      </c>
      <c r="E136" s="4" t="s">
        <v>18</v>
      </c>
      <c r="F136" s="2">
        <v>0.87</v>
      </c>
      <c r="G136" s="2">
        <v>652</v>
      </c>
      <c r="H136" s="2">
        <v>212</v>
      </c>
      <c r="I136" s="2">
        <v>2.8740000000000001</v>
      </c>
      <c r="J136" s="2">
        <v>2.9489999999999998</v>
      </c>
      <c r="K136" s="2">
        <v>2.99</v>
      </c>
      <c r="L136" s="2">
        <v>2.99</v>
      </c>
      <c r="M136" s="2">
        <v>-5.1999999999999998E-2</v>
      </c>
      <c r="N136" s="2">
        <v>3</v>
      </c>
      <c r="O136" s="2">
        <v>-0.01</v>
      </c>
      <c r="P136" s="2">
        <v>-0.3</v>
      </c>
    </row>
    <row r="137" spans="1:16" x14ac:dyDescent="0.35">
      <c r="A137" s="2">
        <v>136</v>
      </c>
      <c r="B137" s="2" t="s">
        <v>21</v>
      </c>
      <c r="C137" s="2">
        <v>3</v>
      </c>
      <c r="D137" s="2">
        <v>5.0700000000000002E-2</v>
      </c>
      <c r="E137" s="4" t="s">
        <v>18</v>
      </c>
      <c r="F137" s="2">
        <v>0.87</v>
      </c>
      <c r="G137" s="2">
        <v>652</v>
      </c>
      <c r="H137" s="2">
        <v>212</v>
      </c>
      <c r="I137" s="2">
        <v>2.8740000000000001</v>
      </c>
      <c r="J137" s="2">
        <v>2.9489999999999998</v>
      </c>
      <c r="K137" s="2">
        <v>2.99</v>
      </c>
      <c r="L137" s="2">
        <v>2.99</v>
      </c>
      <c r="M137" s="2">
        <v>-5.1999999999999998E-2</v>
      </c>
      <c r="N137" s="2">
        <v>3</v>
      </c>
      <c r="O137" s="2">
        <v>-0.01</v>
      </c>
      <c r="P137" s="2">
        <v>-0.3</v>
      </c>
    </row>
    <row r="138" spans="1:16" x14ac:dyDescent="0.35">
      <c r="A138" s="2">
        <v>137</v>
      </c>
      <c r="B138" s="2" t="s">
        <v>21</v>
      </c>
      <c r="C138" s="2">
        <v>3</v>
      </c>
      <c r="D138" s="2">
        <v>0.1522</v>
      </c>
      <c r="E138" s="4" t="s">
        <v>18</v>
      </c>
      <c r="F138" s="2">
        <v>0.74</v>
      </c>
      <c r="G138" s="2">
        <v>628</v>
      </c>
      <c r="H138" s="2">
        <v>212</v>
      </c>
      <c r="I138" s="2">
        <v>2.8740000000000001</v>
      </c>
      <c r="J138" s="2">
        <v>2.9489999999999998</v>
      </c>
      <c r="K138" s="2">
        <v>2.99</v>
      </c>
      <c r="L138" s="2">
        <v>2.99</v>
      </c>
      <c r="M138" s="2">
        <v>5.1999999999999998E-2</v>
      </c>
      <c r="N138" s="2">
        <v>3</v>
      </c>
      <c r="O138" s="2">
        <v>-0.01</v>
      </c>
      <c r="P138" s="2">
        <v>-0.3</v>
      </c>
    </row>
    <row r="139" spans="1:16" x14ac:dyDescent="0.35">
      <c r="A139" s="2">
        <v>138</v>
      </c>
      <c r="B139" s="2" t="s">
        <v>21</v>
      </c>
      <c r="C139" s="2">
        <v>3</v>
      </c>
      <c r="D139" s="2">
        <v>0.25359999999999999</v>
      </c>
      <c r="E139" s="4" t="s">
        <v>18</v>
      </c>
      <c r="F139" s="2">
        <v>0.85</v>
      </c>
      <c r="G139" s="2">
        <v>606</v>
      </c>
      <c r="H139" s="2">
        <v>212</v>
      </c>
      <c r="I139" s="2">
        <v>4.5289999999999999</v>
      </c>
      <c r="J139" s="2">
        <v>4.6040000000000001</v>
      </c>
      <c r="K139" s="2">
        <v>4.6740000000000004</v>
      </c>
      <c r="L139" s="2">
        <v>4.6680000000000001</v>
      </c>
      <c r="M139" s="2">
        <v>0.23200000000000001</v>
      </c>
      <c r="N139" s="2">
        <v>3.0110000000000001</v>
      </c>
      <c r="O139" s="2">
        <v>1.663</v>
      </c>
      <c r="P139" s="2">
        <v>55.2</v>
      </c>
    </row>
    <row r="140" spans="1:16" x14ac:dyDescent="0.35">
      <c r="A140" s="2">
        <v>139</v>
      </c>
      <c r="B140" s="2" t="s">
        <v>21</v>
      </c>
      <c r="C140" s="2">
        <v>3</v>
      </c>
      <c r="D140" s="2">
        <v>0.35510000000000003</v>
      </c>
      <c r="E140" s="4" t="s">
        <v>18</v>
      </c>
      <c r="F140" s="2">
        <v>0.85</v>
      </c>
      <c r="G140" s="2">
        <v>583</v>
      </c>
      <c r="H140" s="2">
        <v>211</v>
      </c>
      <c r="I140" s="2">
        <v>2.8730000000000002</v>
      </c>
      <c r="J140" s="2">
        <v>2.948</v>
      </c>
      <c r="K140" s="2">
        <v>3.0009999999999999</v>
      </c>
      <c r="L140" s="2">
        <v>2.9910000000000001</v>
      </c>
      <c r="M140" s="2">
        <v>0.249</v>
      </c>
      <c r="N140" s="2">
        <v>3.0209999999999999</v>
      </c>
      <c r="O140" s="2">
        <v>-0.02</v>
      </c>
      <c r="P140" s="2">
        <v>-0.7</v>
      </c>
    </row>
    <row r="141" spans="1:16" x14ac:dyDescent="0.35">
      <c r="A141" s="2">
        <v>140</v>
      </c>
      <c r="B141" s="2" t="s">
        <v>21</v>
      </c>
      <c r="C141" s="2">
        <v>3</v>
      </c>
      <c r="D141" s="2">
        <v>0.45650000000000002</v>
      </c>
      <c r="E141" s="4" t="s">
        <v>18</v>
      </c>
      <c r="F141" s="2">
        <v>0.81</v>
      </c>
      <c r="G141" s="2">
        <v>536</v>
      </c>
      <c r="H141" s="2">
        <v>211</v>
      </c>
      <c r="I141" s="2">
        <v>2.8740000000000001</v>
      </c>
      <c r="J141" s="2">
        <v>2.9489999999999998</v>
      </c>
      <c r="K141" s="2">
        <v>3.0259999999999998</v>
      </c>
      <c r="L141" s="2">
        <v>2.9910000000000001</v>
      </c>
      <c r="M141" s="2">
        <v>0.45500000000000002</v>
      </c>
      <c r="N141" s="2">
        <v>3.0350000000000001</v>
      </c>
      <c r="O141" s="2">
        <v>-8.9999999999999993E-3</v>
      </c>
      <c r="P141" s="2">
        <v>-0.3</v>
      </c>
    </row>
    <row r="142" spans="1:16" x14ac:dyDescent="0.35">
      <c r="A142" s="2">
        <v>141</v>
      </c>
      <c r="B142" s="2" t="s">
        <v>21</v>
      </c>
      <c r="C142" s="2">
        <v>3</v>
      </c>
      <c r="D142" s="2">
        <v>0.55800000000000005</v>
      </c>
      <c r="E142" s="4" t="s">
        <v>18</v>
      </c>
      <c r="F142" s="2">
        <v>0.74</v>
      </c>
      <c r="G142" s="2">
        <v>513</v>
      </c>
      <c r="H142" s="2">
        <v>213</v>
      </c>
      <c r="I142" s="2">
        <v>2.8780000000000001</v>
      </c>
      <c r="J142" s="2">
        <v>2.9529999999999998</v>
      </c>
      <c r="K142" s="2">
        <v>3.0430000000000001</v>
      </c>
      <c r="L142" s="2">
        <v>2.992</v>
      </c>
      <c r="M142" s="2">
        <v>0.55600000000000005</v>
      </c>
      <c r="N142" s="2">
        <v>3.0510000000000002</v>
      </c>
      <c r="O142" s="2">
        <v>-8.0000000000000002E-3</v>
      </c>
      <c r="P142" s="2">
        <v>-0.3</v>
      </c>
    </row>
    <row r="143" spans="1:16" x14ac:dyDescent="0.35">
      <c r="A143" s="2">
        <v>142</v>
      </c>
      <c r="B143" s="2" t="s">
        <v>21</v>
      </c>
      <c r="C143" s="2">
        <v>3</v>
      </c>
      <c r="D143" s="2">
        <v>0.65939999999999999</v>
      </c>
      <c r="E143" s="4" t="s">
        <v>18</v>
      </c>
      <c r="F143" s="2">
        <v>0.74</v>
      </c>
      <c r="G143" s="2">
        <v>513</v>
      </c>
      <c r="H143" s="2">
        <v>213</v>
      </c>
      <c r="I143" s="2">
        <v>2.8780000000000001</v>
      </c>
      <c r="J143" s="2">
        <v>2.9529999999999998</v>
      </c>
      <c r="K143" s="2">
        <v>3.0430000000000001</v>
      </c>
      <c r="L143" s="2">
        <v>2.992</v>
      </c>
      <c r="M143" s="2">
        <v>0.55600000000000005</v>
      </c>
      <c r="N143" s="2">
        <v>3.0510000000000002</v>
      </c>
      <c r="O143" s="2">
        <v>-8.0000000000000002E-3</v>
      </c>
      <c r="P143" s="2">
        <v>-0.3</v>
      </c>
    </row>
    <row r="144" spans="1:16" x14ac:dyDescent="0.35">
      <c r="A144" s="2">
        <v>143</v>
      </c>
      <c r="B144" s="2" t="s">
        <v>21</v>
      </c>
      <c r="C144" s="2">
        <v>3</v>
      </c>
      <c r="D144" s="2">
        <v>0.76090000000000002</v>
      </c>
      <c r="E144" s="4" t="s">
        <v>18</v>
      </c>
      <c r="F144" s="2">
        <v>0.79</v>
      </c>
      <c r="G144" s="2">
        <v>491</v>
      </c>
      <c r="H144" s="2">
        <v>212</v>
      </c>
      <c r="I144" s="2">
        <v>2.8780000000000001</v>
      </c>
      <c r="J144" s="2">
        <v>2.9529999999999998</v>
      </c>
      <c r="K144" s="2">
        <v>3.0649999999999999</v>
      </c>
      <c r="L144" s="2">
        <v>2.9940000000000002</v>
      </c>
      <c r="M144" s="2">
        <v>0.65200000000000002</v>
      </c>
      <c r="N144" s="2">
        <v>3.0720000000000001</v>
      </c>
      <c r="O144" s="2">
        <v>-7.0000000000000001E-3</v>
      </c>
      <c r="P144" s="2">
        <v>-0.2</v>
      </c>
    </row>
    <row r="145" spans="1:20" x14ac:dyDescent="0.35">
      <c r="A145" s="2">
        <v>144</v>
      </c>
      <c r="B145" s="2" t="s">
        <v>21</v>
      </c>
      <c r="C145" s="2">
        <v>3</v>
      </c>
      <c r="D145" s="2">
        <v>0.86229999999999996</v>
      </c>
      <c r="E145" s="4" t="s">
        <v>18</v>
      </c>
      <c r="F145" s="2">
        <v>0.8</v>
      </c>
      <c r="G145" s="2">
        <v>467</v>
      </c>
      <c r="H145" s="2">
        <v>212</v>
      </c>
      <c r="I145" s="2">
        <v>2.8780000000000001</v>
      </c>
      <c r="J145" s="2">
        <v>2.9529999999999998</v>
      </c>
      <c r="K145" s="2">
        <v>3.0880000000000001</v>
      </c>
      <c r="L145" s="2">
        <v>2.9940000000000002</v>
      </c>
      <c r="M145" s="2">
        <v>0.75700000000000001</v>
      </c>
      <c r="N145" s="2">
        <v>3.121</v>
      </c>
      <c r="O145" s="2">
        <v>-3.3000000000000002E-2</v>
      </c>
      <c r="P145" s="2">
        <v>-1.1000000000000001</v>
      </c>
    </row>
    <row r="146" spans="1:20" x14ac:dyDescent="0.35">
      <c r="A146" s="2">
        <v>145</v>
      </c>
      <c r="B146" s="2" t="s">
        <v>21</v>
      </c>
      <c r="C146" s="2">
        <v>3</v>
      </c>
      <c r="D146" s="2">
        <v>0.96379999999999999</v>
      </c>
      <c r="E146" s="4" t="s">
        <v>18</v>
      </c>
      <c r="F146" s="2">
        <v>0.77</v>
      </c>
      <c r="G146" s="2">
        <v>444</v>
      </c>
      <c r="H146" s="2">
        <v>212</v>
      </c>
      <c r="I146" s="2">
        <v>2.879</v>
      </c>
      <c r="J146" s="2">
        <v>2.9540000000000002</v>
      </c>
      <c r="K146" s="2">
        <v>3.1160000000000001</v>
      </c>
      <c r="L146" s="2">
        <v>2.9950000000000001</v>
      </c>
      <c r="M146" s="2">
        <v>0.85799999999999998</v>
      </c>
      <c r="N146" s="2">
        <v>3.1509999999999998</v>
      </c>
      <c r="O146" s="2">
        <v>-3.5000000000000003E-2</v>
      </c>
      <c r="P146" s="2">
        <v>-1.1000000000000001</v>
      </c>
    </row>
    <row r="147" spans="1:20" x14ac:dyDescent="0.35">
      <c r="A147" s="2">
        <v>146</v>
      </c>
      <c r="B147" s="2" t="s">
        <v>21</v>
      </c>
      <c r="C147" s="2">
        <v>3</v>
      </c>
      <c r="D147" s="2">
        <v>1.0651999999999999</v>
      </c>
      <c r="E147" s="4" t="s">
        <v>18</v>
      </c>
      <c r="F147" s="2">
        <v>0.7</v>
      </c>
      <c r="G147" s="2">
        <v>420</v>
      </c>
      <c r="H147" s="2">
        <v>212</v>
      </c>
      <c r="I147" s="2">
        <v>2.879</v>
      </c>
      <c r="J147" s="2">
        <v>2.9540000000000002</v>
      </c>
      <c r="K147" s="2">
        <v>3.1459999999999999</v>
      </c>
      <c r="L147" s="2">
        <v>2.9950000000000001</v>
      </c>
      <c r="M147" s="2">
        <v>0.96299999999999997</v>
      </c>
      <c r="N147" s="2">
        <v>3.1829999999999998</v>
      </c>
      <c r="O147" s="2">
        <v>-3.7999999999999999E-2</v>
      </c>
      <c r="P147" s="2">
        <v>-1.2</v>
      </c>
    </row>
    <row r="148" spans="1:20" x14ac:dyDescent="0.35">
      <c r="A148" s="2">
        <v>147</v>
      </c>
      <c r="B148" s="2" t="s">
        <v>21</v>
      </c>
      <c r="C148" s="2">
        <v>3</v>
      </c>
      <c r="D148" s="2">
        <v>1.1667000000000001</v>
      </c>
      <c r="E148" s="4" t="s">
        <v>18</v>
      </c>
      <c r="F148" s="2">
        <v>0.82</v>
      </c>
      <c r="G148" s="2">
        <v>398</v>
      </c>
      <c r="H148" s="2">
        <v>212</v>
      </c>
      <c r="I148" s="2">
        <v>2.8820000000000001</v>
      </c>
      <c r="J148" s="2">
        <v>2.9569999999999999</v>
      </c>
      <c r="K148" s="2">
        <v>3.18</v>
      </c>
      <c r="L148" s="2">
        <v>2.9980000000000002</v>
      </c>
      <c r="M148" s="2">
        <v>1.0609999999999999</v>
      </c>
      <c r="N148" s="2">
        <v>3.1829999999999998</v>
      </c>
      <c r="O148" s="2">
        <v>-4.0000000000000001E-3</v>
      </c>
      <c r="P148" s="2">
        <v>-0.1</v>
      </c>
    </row>
    <row r="149" spans="1:20" x14ac:dyDescent="0.35">
      <c r="A149" s="2">
        <v>148</v>
      </c>
      <c r="B149" s="2" t="s">
        <v>21</v>
      </c>
      <c r="C149" s="2">
        <v>3</v>
      </c>
      <c r="D149" s="2">
        <v>1.2681</v>
      </c>
      <c r="E149" s="4" t="s">
        <v>18</v>
      </c>
      <c r="F149" s="2">
        <v>0.8</v>
      </c>
      <c r="G149" s="2">
        <v>351</v>
      </c>
      <c r="H149" s="2">
        <v>212</v>
      </c>
      <c r="I149" s="2">
        <v>2.883</v>
      </c>
      <c r="J149" s="2">
        <v>2.9580000000000002</v>
      </c>
      <c r="K149" s="2">
        <v>3.2559999999999998</v>
      </c>
      <c r="L149" s="2">
        <v>2.9990000000000001</v>
      </c>
      <c r="M149" s="2">
        <v>1.2669999999999999</v>
      </c>
      <c r="N149" s="2">
        <v>3.2570000000000001</v>
      </c>
      <c r="O149" s="2">
        <v>-1E-3</v>
      </c>
      <c r="P149" s="2">
        <v>0</v>
      </c>
    </row>
    <row r="150" spans="1:20" x14ac:dyDescent="0.35">
      <c r="A150" s="2">
        <v>149</v>
      </c>
      <c r="B150" s="2" t="s">
        <v>21</v>
      </c>
      <c r="C150" s="2">
        <v>3</v>
      </c>
      <c r="D150" s="2">
        <v>1.3695999999999999</v>
      </c>
      <c r="E150" s="4" t="s">
        <v>18</v>
      </c>
      <c r="F150" s="2">
        <v>0.84</v>
      </c>
      <c r="G150" s="2">
        <v>328</v>
      </c>
      <c r="H150" s="2">
        <v>212</v>
      </c>
      <c r="I150" s="2">
        <v>2.8839999999999999</v>
      </c>
      <c r="J150" s="2">
        <v>2.9590000000000001</v>
      </c>
      <c r="K150" s="2">
        <v>3.298</v>
      </c>
      <c r="L150" s="2">
        <v>3</v>
      </c>
      <c r="M150" s="2">
        <v>1.369</v>
      </c>
      <c r="N150" s="2">
        <v>3.298</v>
      </c>
      <c r="O150" s="2">
        <v>0</v>
      </c>
      <c r="P150" s="2">
        <v>0</v>
      </c>
    </row>
    <row r="151" spans="1:20" x14ac:dyDescent="0.35">
      <c r="A151" s="2">
        <v>150</v>
      </c>
      <c r="B151" s="2" t="s">
        <v>21</v>
      </c>
      <c r="C151" s="2">
        <v>3</v>
      </c>
      <c r="D151" s="2">
        <v>1.4710000000000001</v>
      </c>
      <c r="E151" s="4" t="s">
        <v>18</v>
      </c>
      <c r="F151" s="2">
        <v>0.84</v>
      </c>
      <c r="G151" s="2">
        <v>328</v>
      </c>
      <c r="H151" s="2">
        <v>212</v>
      </c>
      <c r="I151" s="2">
        <v>2.8839999999999999</v>
      </c>
      <c r="J151" s="2">
        <v>2.9590000000000001</v>
      </c>
      <c r="K151" s="2">
        <v>3.298</v>
      </c>
      <c r="L151" s="2">
        <v>3</v>
      </c>
      <c r="M151" s="2">
        <v>1.369</v>
      </c>
      <c r="N151" s="2">
        <v>3.298</v>
      </c>
      <c r="O151" s="2">
        <v>0</v>
      </c>
      <c r="P151" s="2">
        <v>0</v>
      </c>
      <c r="T151">
        <f>AVERAGE(O3:O101)</f>
        <v>-1.9525641025641007E-2</v>
      </c>
    </row>
    <row r="152" spans="1:20" x14ac:dyDescent="0.35">
      <c r="A152" s="2">
        <v>151</v>
      </c>
      <c r="B152" s="2" t="s">
        <v>21</v>
      </c>
      <c r="C152" s="2">
        <v>3</v>
      </c>
      <c r="D152" s="2">
        <v>1.5725</v>
      </c>
      <c r="E152" s="4" t="s">
        <v>18</v>
      </c>
      <c r="F152" s="2">
        <v>0.78</v>
      </c>
      <c r="G152" s="2">
        <v>282</v>
      </c>
      <c r="H152" s="2">
        <v>212</v>
      </c>
      <c r="I152" s="2">
        <v>2.887</v>
      </c>
      <c r="J152" s="2">
        <v>2.9620000000000002</v>
      </c>
      <c r="K152" s="2">
        <v>3.3889999999999998</v>
      </c>
      <c r="L152" s="2">
        <v>3.0030000000000001</v>
      </c>
      <c r="M152" s="2">
        <v>1.5720000000000001</v>
      </c>
      <c r="N152" s="2">
        <v>3.387</v>
      </c>
      <c r="O152" s="2">
        <v>2E-3</v>
      </c>
      <c r="P152" s="2">
        <v>0.1</v>
      </c>
      <c r="T152">
        <f>AVERAGE(O128:O163)</f>
        <v>0.13514285714285718</v>
      </c>
    </row>
    <row r="153" spans="1:20" x14ac:dyDescent="0.35">
      <c r="A153" s="2">
        <v>152</v>
      </c>
      <c r="B153" s="2" t="s">
        <v>21</v>
      </c>
      <c r="C153" s="2">
        <v>3</v>
      </c>
      <c r="D153" s="2">
        <v>1.6738999999999999</v>
      </c>
      <c r="E153" s="4" t="s">
        <v>18</v>
      </c>
      <c r="F153" s="2">
        <v>0.78</v>
      </c>
      <c r="G153" s="2">
        <v>282</v>
      </c>
      <c r="H153" s="2">
        <v>212</v>
      </c>
      <c r="I153" s="2">
        <v>2.887</v>
      </c>
      <c r="J153" s="2">
        <v>2.9620000000000002</v>
      </c>
      <c r="K153" s="2">
        <v>3.3889999999999998</v>
      </c>
      <c r="L153" s="2">
        <v>3.0030000000000001</v>
      </c>
      <c r="M153" s="2">
        <v>1.5720000000000001</v>
      </c>
      <c r="N153" s="2">
        <v>3.4350000000000001</v>
      </c>
      <c r="O153" s="2">
        <v>-4.5999999999999999E-2</v>
      </c>
      <c r="P153" s="2">
        <v>-1.3</v>
      </c>
    </row>
    <row r="154" spans="1:20" x14ac:dyDescent="0.35">
      <c r="A154" s="2">
        <v>153</v>
      </c>
      <c r="B154" s="2" t="s">
        <v>21</v>
      </c>
      <c r="C154" s="2">
        <v>3</v>
      </c>
      <c r="D154" s="2">
        <v>1.7754000000000001</v>
      </c>
      <c r="E154" s="4" t="s">
        <v>18</v>
      </c>
      <c r="F154" s="2">
        <v>0.81</v>
      </c>
      <c r="G154" s="2">
        <v>258</v>
      </c>
      <c r="H154" s="2">
        <v>212</v>
      </c>
      <c r="I154" s="2">
        <v>2.8860000000000001</v>
      </c>
      <c r="J154" s="2">
        <v>2.9609999999999999</v>
      </c>
      <c r="K154" s="2">
        <v>3.4390000000000001</v>
      </c>
      <c r="L154" s="2">
        <v>3.0019999999999998</v>
      </c>
      <c r="M154" s="2">
        <v>1.677</v>
      </c>
      <c r="N154" s="2">
        <v>3.4860000000000002</v>
      </c>
      <c r="O154" s="2">
        <v>-4.7E-2</v>
      </c>
      <c r="P154" s="2">
        <v>-1.4</v>
      </c>
    </row>
    <row r="155" spans="1:20" x14ac:dyDescent="0.35">
      <c r="A155" s="2">
        <v>154</v>
      </c>
      <c r="B155" s="2" t="s">
        <v>21</v>
      </c>
      <c r="C155" s="2">
        <v>3</v>
      </c>
      <c r="D155" s="2">
        <v>1.8768</v>
      </c>
      <c r="E155" s="4" t="s">
        <v>18</v>
      </c>
      <c r="F155" s="2">
        <v>0.66</v>
      </c>
      <c r="G155" s="2">
        <v>236</v>
      </c>
      <c r="H155" s="2">
        <v>212</v>
      </c>
      <c r="I155" s="2">
        <v>2.89</v>
      </c>
      <c r="J155" s="2">
        <v>2.9649999999999999</v>
      </c>
      <c r="K155" s="2">
        <v>3.492</v>
      </c>
      <c r="L155" s="2">
        <v>3.0059999999999998</v>
      </c>
      <c r="M155" s="2">
        <v>1.776</v>
      </c>
      <c r="N155" s="2">
        <v>3.5390000000000001</v>
      </c>
      <c r="O155" s="2">
        <v>-4.7E-2</v>
      </c>
      <c r="P155" s="2">
        <v>-1.3</v>
      </c>
    </row>
    <row r="156" spans="1:20" x14ac:dyDescent="0.35">
      <c r="A156" s="2">
        <v>155</v>
      </c>
      <c r="B156" s="2" t="s">
        <v>21</v>
      </c>
      <c r="C156" s="2">
        <v>3</v>
      </c>
      <c r="D156" s="2">
        <v>1.9782999999999999</v>
      </c>
      <c r="E156" s="4" t="s">
        <v>18</v>
      </c>
      <c r="F156" s="2">
        <v>0.73</v>
      </c>
      <c r="G156" s="2">
        <v>212</v>
      </c>
      <c r="H156" s="2">
        <v>211</v>
      </c>
      <c r="I156" s="2">
        <v>2.8879999999999999</v>
      </c>
      <c r="J156" s="2">
        <v>2.9630000000000001</v>
      </c>
      <c r="K156" s="2">
        <v>3.5459999999999998</v>
      </c>
      <c r="L156" s="2">
        <v>3.0059999999999998</v>
      </c>
      <c r="M156" s="2">
        <v>1.88</v>
      </c>
      <c r="N156" s="2">
        <v>3.5939999999999999</v>
      </c>
      <c r="O156" s="2">
        <v>-4.8000000000000001E-2</v>
      </c>
      <c r="P156" s="2">
        <v>-1.3</v>
      </c>
    </row>
    <row r="157" spans="1:20" x14ac:dyDescent="0.35">
      <c r="A157" s="2">
        <v>156</v>
      </c>
      <c r="B157" s="2" t="s">
        <v>21</v>
      </c>
      <c r="C157" s="2">
        <v>3</v>
      </c>
      <c r="D157" s="2">
        <v>2.0796999999999999</v>
      </c>
      <c r="E157" s="4" t="s">
        <v>18</v>
      </c>
      <c r="F157" s="2">
        <v>0.81</v>
      </c>
      <c r="G157" s="2">
        <v>189</v>
      </c>
      <c r="H157" s="2">
        <v>212</v>
      </c>
      <c r="I157" s="2">
        <v>2.891</v>
      </c>
      <c r="J157" s="2">
        <v>2.9660000000000002</v>
      </c>
      <c r="K157" s="2">
        <v>3.6019999999999999</v>
      </c>
      <c r="L157" s="2">
        <v>3.0070000000000001</v>
      </c>
      <c r="M157" s="2">
        <v>1.9830000000000001</v>
      </c>
      <c r="N157" s="2">
        <v>3.5939999999999999</v>
      </c>
      <c r="O157" s="2">
        <v>8.0000000000000002E-3</v>
      </c>
      <c r="P157" s="2">
        <v>0.2</v>
      </c>
    </row>
    <row r="158" spans="1:20" x14ac:dyDescent="0.35">
      <c r="A158" s="2">
        <v>157</v>
      </c>
      <c r="B158" s="2" t="s">
        <v>21</v>
      </c>
      <c r="C158" s="2">
        <v>3</v>
      </c>
      <c r="D158" s="2">
        <v>2.1812</v>
      </c>
      <c r="E158" s="4" t="s">
        <v>18</v>
      </c>
      <c r="F158" s="2">
        <v>0.79</v>
      </c>
      <c r="G158" s="2">
        <v>165</v>
      </c>
      <c r="H158" s="2">
        <v>212</v>
      </c>
      <c r="I158" s="2">
        <v>2.89</v>
      </c>
      <c r="J158" s="2">
        <v>2.9649999999999999</v>
      </c>
      <c r="K158" s="2">
        <v>3.66</v>
      </c>
      <c r="L158" s="2">
        <v>3.0059999999999998</v>
      </c>
      <c r="M158" s="2">
        <v>2.0880000000000001</v>
      </c>
      <c r="N158" s="2">
        <v>3.7090000000000001</v>
      </c>
      <c r="O158" s="2">
        <v>-4.9000000000000002E-2</v>
      </c>
      <c r="P158" s="2">
        <v>-1.3</v>
      </c>
    </row>
    <row r="159" spans="1:20" x14ac:dyDescent="0.35">
      <c r="A159" s="2">
        <v>158</v>
      </c>
      <c r="B159" s="2" t="s">
        <v>21</v>
      </c>
      <c r="C159" s="2">
        <v>3</v>
      </c>
      <c r="D159" s="2">
        <v>2.2826</v>
      </c>
      <c r="E159" s="4" t="s">
        <v>18</v>
      </c>
      <c r="F159" s="2">
        <v>0.49</v>
      </c>
      <c r="G159" s="2">
        <v>121</v>
      </c>
      <c r="H159" s="2">
        <v>211</v>
      </c>
      <c r="I159" s="2">
        <v>2.8969999999999998</v>
      </c>
      <c r="J159" s="2">
        <v>2.972</v>
      </c>
      <c r="K159" s="2">
        <v>3.7839999999999998</v>
      </c>
      <c r="L159" s="2">
        <v>3.0150000000000001</v>
      </c>
      <c r="M159" s="2">
        <v>2.2869999999999999</v>
      </c>
      <c r="N159" s="2">
        <v>3.77</v>
      </c>
      <c r="O159" s="2">
        <v>1.4E-2</v>
      </c>
      <c r="P159" s="2">
        <v>0.4</v>
      </c>
    </row>
    <row r="160" spans="1:20" x14ac:dyDescent="0.35">
      <c r="A160" s="2">
        <v>159</v>
      </c>
      <c r="B160" s="2" t="s">
        <v>21</v>
      </c>
      <c r="C160" s="2">
        <v>3</v>
      </c>
      <c r="D160" s="2">
        <v>2.3841000000000001</v>
      </c>
      <c r="E160" s="4" t="s">
        <v>18</v>
      </c>
      <c r="F160" s="2">
        <v>0.26</v>
      </c>
      <c r="G160" s="2">
        <v>97</v>
      </c>
      <c r="H160" s="2">
        <v>212</v>
      </c>
      <c r="I160" s="2">
        <v>2.8969999999999998</v>
      </c>
      <c r="J160" s="2">
        <v>2.972</v>
      </c>
      <c r="K160" s="2">
        <v>3.847</v>
      </c>
      <c r="L160" s="2">
        <v>3.0129999999999999</v>
      </c>
      <c r="M160" s="2">
        <v>2.3919999999999999</v>
      </c>
      <c r="N160" s="2">
        <v>3.8319999999999999</v>
      </c>
      <c r="O160" s="2">
        <v>1.4999999999999999E-2</v>
      </c>
      <c r="P160" s="2">
        <v>0.4</v>
      </c>
    </row>
    <row r="161" spans="1:16" x14ac:dyDescent="0.35">
      <c r="A161" s="2">
        <v>160</v>
      </c>
      <c r="B161" s="2" t="s">
        <v>21</v>
      </c>
      <c r="C161" s="2">
        <v>3</v>
      </c>
      <c r="D161" s="2">
        <v>2.4855</v>
      </c>
      <c r="E161" s="4" t="s">
        <v>18</v>
      </c>
      <c r="F161" s="2">
        <v>0.83</v>
      </c>
      <c r="G161" s="2">
        <v>73</v>
      </c>
      <c r="H161" s="2">
        <v>211</v>
      </c>
      <c r="I161" s="2">
        <v>2.895</v>
      </c>
      <c r="J161" s="2">
        <v>2.97</v>
      </c>
      <c r="K161" s="2">
        <v>3.9129999999999998</v>
      </c>
      <c r="L161" s="2">
        <v>3.0129999999999999</v>
      </c>
      <c r="M161" s="2">
        <v>2.4969999999999999</v>
      </c>
      <c r="N161" s="2">
        <v>3.8959999999999999</v>
      </c>
      <c r="O161" s="2">
        <v>1.7000000000000001E-2</v>
      </c>
      <c r="P161" s="2">
        <v>0.4</v>
      </c>
    </row>
    <row r="162" spans="1:16" x14ac:dyDescent="0.35">
      <c r="A162" s="2">
        <v>161</v>
      </c>
      <c r="B162" s="2" t="s">
        <v>21</v>
      </c>
      <c r="C162" s="2">
        <v>3</v>
      </c>
      <c r="D162" s="2">
        <v>2.5870000000000002</v>
      </c>
      <c r="E162" s="4" t="s">
        <v>18</v>
      </c>
      <c r="F162" s="2">
        <v>0.83</v>
      </c>
      <c r="G162" s="2">
        <v>73</v>
      </c>
      <c r="H162" s="2">
        <v>211</v>
      </c>
      <c r="I162" s="2">
        <v>2.895</v>
      </c>
      <c r="J162" s="2">
        <v>2.97</v>
      </c>
      <c r="K162" s="2">
        <v>3.9129999999999998</v>
      </c>
      <c r="L162" s="2">
        <v>3.0129999999999999</v>
      </c>
      <c r="M162" s="2">
        <v>2.4969999999999999</v>
      </c>
      <c r="N162" s="2">
        <v>3.8959999999999999</v>
      </c>
      <c r="O162" s="2">
        <v>1.7000000000000001E-2</v>
      </c>
      <c r="P162" s="2">
        <v>0.4</v>
      </c>
    </row>
    <row r="163" spans="1:16" x14ac:dyDescent="0.35">
      <c r="A163" s="2">
        <v>162</v>
      </c>
      <c r="B163" s="2" t="s">
        <v>21</v>
      </c>
      <c r="C163" s="2">
        <v>3</v>
      </c>
      <c r="D163" s="2">
        <v>2.6884000000000001</v>
      </c>
      <c r="E163" s="4" t="s">
        <v>18</v>
      </c>
      <c r="F163" s="2">
        <v>0.68</v>
      </c>
      <c r="G163" s="2">
        <v>49</v>
      </c>
      <c r="H163" s="2">
        <v>211</v>
      </c>
      <c r="I163" s="2">
        <v>2.8940000000000001</v>
      </c>
      <c r="J163" s="2">
        <v>2.9689999999999999</v>
      </c>
      <c r="K163" s="2">
        <v>3.98</v>
      </c>
      <c r="L163" s="2">
        <v>3.012</v>
      </c>
      <c r="M163" s="2">
        <v>2.6019999999999999</v>
      </c>
      <c r="N163" s="2">
        <v>3.9609999999999999</v>
      </c>
      <c r="O163" s="2">
        <v>1.9E-2</v>
      </c>
      <c r="P163" s="2">
        <v>0.5</v>
      </c>
    </row>
    <row r="164" spans="1:16" x14ac:dyDescent="0.35">
      <c r="A164" s="2">
        <v>163</v>
      </c>
      <c r="B164" s="2" t="s">
        <v>21</v>
      </c>
      <c r="C164" s="2">
        <v>3</v>
      </c>
      <c r="D164" s="2">
        <v>2.7898999999999998</v>
      </c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35">
      <c r="A165" s="2">
        <v>164</v>
      </c>
      <c r="B165" s="2" t="s">
        <v>21</v>
      </c>
      <c r="C165" s="2">
        <v>3</v>
      </c>
      <c r="D165" s="2">
        <v>2.8913000000000002</v>
      </c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35">
      <c r="A166" s="2">
        <v>165</v>
      </c>
      <c r="B166" s="2" t="s">
        <v>21</v>
      </c>
      <c r="C166" s="2">
        <v>3</v>
      </c>
      <c r="D166" s="2">
        <v>2.9927999999999999</v>
      </c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35">
      <c r="A167" s="2">
        <v>166</v>
      </c>
      <c r="B167" s="2" t="s">
        <v>21</v>
      </c>
      <c r="C167" s="2">
        <v>3</v>
      </c>
      <c r="D167" s="2">
        <v>3.0941999999999998</v>
      </c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35">
      <c r="A168" s="2">
        <v>167</v>
      </c>
      <c r="B168" s="2" t="s">
        <v>21</v>
      </c>
      <c r="C168" s="2">
        <v>3</v>
      </c>
      <c r="D168" s="2">
        <v>3.1957</v>
      </c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35">
      <c r="A169" s="2">
        <v>168</v>
      </c>
      <c r="B169" s="2" t="s">
        <v>21</v>
      </c>
      <c r="C169" s="2">
        <v>3</v>
      </c>
      <c r="D169" s="2">
        <v>3.2970999999999999</v>
      </c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35">
      <c r="A170" s="2">
        <v>169</v>
      </c>
      <c r="B170" s="2" t="s">
        <v>21</v>
      </c>
      <c r="C170" s="2">
        <v>3</v>
      </c>
      <c r="D170" s="2">
        <v>3.3986000000000001</v>
      </c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35">
      <c r="A171" s="2">
        <v>170</v>
      </c>
      <c r="B171" s="2" t="s">
        <v>21</v>
      </c>
      <c r="C171" s="2">
        <v>3</v>
      </c>
      <c r="D171" s="2">
        <v>3.5</v>
      </c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2"/>
  <sheetViews>
    <sheetView workbookViewId="0">
      <pane ySplit="1" topLeftCell="A26" activePane="bottomLeft" state="frozen"/>
      <selection pane="bottomLeft" activeCell="G13" sqref="G13"/>
    </sheetView>
  </sheetViews>
  <sheetFormatPr defaultRowHeight="14.5" x14ac:dyDescent="0.35"/>
  <cols>
    <col min="1" max="1" width="8" customWidth="1"/>
    <col min="2" max="2" width="22" customWidth="1"/>
    <col min="3" max="4" width="8" customWidth="1"/>
    <col min="5" max="5" width="11" customWidth="1"/>
    <col min="6" max="6" width="12" customWidth="1"/>
    <col min="7" max="8" width="9" customWidth="1"/>
    <col min="9" max="9" width="17" customWidth="1"/>
    <col min="10" max="10" width="16" customWidth="1"/>
    <col min="11" max="11" width="20" customWidth="1"/>
    <col min="12" max="13" width="21" customWidth="1"/>
    <col min="14" max="14" width="16" customWidth="1"/>
    <col min="15" max="15" width="9" customWidth="1"/>
    <col min="16" max="16" width="11" customWidth="1"/>
  </cols>
  <sheetData>
    <row r="1" spans="1:1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35">
      <c r="A2" s="2">
        <v>1</v>
      </c>
      <c r="B2" s="2" t="s">
        <v>22</v>
      </c>
      <c r="C2" s="2">
        <v>1</v>
      </c>
      <c r="D2" s="2">
        <v>0</v>
      </c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35">
      <c r="A3" s="2">
        <v>2</v>
      </c>
      <c r="B3" s="2" t="s">
        <v>22</v>
      </c>
      <c r="C3" s="2">
        <v>1.5</v>
      </c>
      <c r="D3" s="2">
        <v>0</v>
      </c>
      <c r="E3" s="4" t="s">
        <v>18</v>
      </c>
      <c r="F3" s="2">
        <v>0.5</v>
      </c>
      <c r="G3" s="2">
        <v>640</v>
      </c>
      <c r="H3" s="2">
        <v>394</v>
      </c>
      <c r="I3" s="2">
        <v>0.99199999999999999</v>
      </c>
      <c r="J3" s="2">
        <v>1.0669999999999999</v>
      </c>
      <c r="K3" s="2">
        <v>0.98199999999999998</v>
      </c>
      <c r="L3" s="2">
        <v>0.98199999999999998</v>
      </c>
      <c r="M3" s="2">
        <v>0</v>
      </c>
      <c r="N3" s="2">
        <v>1.5</v>
      </c>
      <c r="O3" s="2">
        <v>-0.51800000000000002</v>
      </c>
      <c r="P3" s="2">
        <v>-34.5</v>
      </c>
    </row>
    <row r="4" spans="1:16" x14ac:dyDescent="0.35">
      <c r="A4" s="2">
        <v>3</v>
      </c>
      <c r="B4" s="2" t="s">
        <v>22</v>
      </c>
      <c r="C4" s="2">
        <v>2</v>
      </c>
      <c r="D4" s="2">
        <v>0</v>
      </c>
      <c r="E4" s="4" t="s">
        <v>18</v>
      </c>
      <c r="F4" s="2">
        <v>0.27</v>
      </c>
      <c r="G4" s="2">
        <v>640</v>
      </c>
      <c r="H4" s="2">
        <v>306</v>
      </c>
      <c r="I4" s="2">
        <v>1.464</v>
      </c>
      <c r="J4" s="2">
        <v>1.5389999999999999</v>
      </c>
      <c r="K4" s="2">
        <v>1.486</v>
      </c>
      <c r="L4" s="2">
        <v>1.486</v>
      </c>
      <c r="M4" s="2">
        <v>0</v>
      </c>
      <c r="N4" s="2">
        <v>1.5</v>
      </c>
      <c r="O4" s="2">
        <v>-1.4E-2</v>
      </c>
      <c r="P4" s="2">
        <v>-1</v>
      </c>
    </row>
    <row r="5" spans="1:16" x14ac:dyDescent="0.35">
      <c r="A5" s="2">
        <v>4</v>
      </c>
      <c r="B5" s="2" t="s">
        <v>22</v>
      </c>
      <c r="C5" s="2">
        <v>2.5</v>
      </c>
      <c r="D5" s="2">
        <v>0</v>
      </c>
      <c r="E5" s="4" t="s">
        <v>18</v>
      </c>
      <c r="F5" s="2">
        <v>0.62</v>
      </c>
      <c r="G5" s="2">
        <v>639</v>
      </c>
      <c r="H5" s="2">
        <v>258</v>
      </c>
      <c r="I5" s="2">
        <v>1.9319999999999999</v>
      </c>
      <c r="J5" s="2">
        <v>2.0070000000000001</v>
      </c>
      <c r="K5" s="2">
        <v>1.988</v>
      </c>
      <c r="L5" s="2">
        <v>1.988</v>
      </c>
      <c r="M5" s="2">
        <v>3.0000000000000001E-3</v>
      </c>
      <c r="N5" s="2">
        <v>2</v>
      </c>
      <c r="O5" s="2">
        <v>-1.2E-2</v>
      </c>
      <c r="P5" s="2">
        <v>-0.6</v>
      </c>
    </row>
    <row r="6" spans="1:16" x14ac:dyDescent="0.35">
      <c r="A6" s="2">
        <v>5</v>
      </c>
      <c r="B6" s="2" t="s">
        <v>22</v>
      </c>
      <c r="C6" s="2">
        <v>3</v>
      </c>
      <c r="D6" s="2">
        <v>0</v>
      </c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6</v>
      </c>
      <c r="B7" s="2" t="s">
        <v>22</v>
      </c>
      <c r="C7" s="2">
        <v>3.5</v>
      </c>
      <c r="D7" s="2">
        <v>0</v>
      </c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7</v>
      </c>
      <c r="B8" s="2" t="s">
        <v>22</v>
      </c>
      <c r="C8" s="2">
        <v>4</v>
      </c>
      <c r="D8" s="2">
        <v>0</v>
      </c>
      <c r="E8" s="4" t="s">
        <v>18</v>
      </c>
      <c r="F8" s="2">
        <v>0.35</v>
      </c>
      <c r="G8" s="2">
        <v>640</v>
      </c>
      <c r="H8" s="2">
        <v>196</v>
      </c>
      <c r="I8" s="2">
        <v>3.34</v>
      </c>
      <c r="J8" s="2">
        <v>3.415</v>
      </c>
      <c r="K8" s="2">
        <v>3.4910000000000001</v>
      </c>
      <c r="L8" s="2">
        <v>3.4910000000000001</v>
      </c>
      <c r="M8" s="2">
        <v>0</v>
      </c>
      <c r="N8" s="2">
        <v>3.5</v>
      </c>
      <c r="O8" s="2">
        <v>-8.9999999999999993E-3</v>
      </c>
      <c r="P8" s="2">
        <v>-0.3</v>
      </c>
    </row>
    <row r="9" spans="1:16" x14ac:dyDescent="0.35">
      <c r="A9" s="2">
        <v>8</v>
      </c>
      <c r="B9" s="2" t="s">
        <v>22</v>
      </c>
      <c r="C9" s="2">
        <v>4.5</v>
      </c>
      <c r="D9" s="2">
        <v>0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9</v>
      </c>
      <c r="B10" s="2" t="s">
        <v>22</v>
      </c>
      <c r="C10" s="2">
        <v>5</v>
      </c>
      <c r="D10" s="2">
        <v>0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10</v>
      </c>
      <c r="B11" s="2" t="s">
        <v>22</v>
      </c>
      <c r="C11" s="2">
        <v>5.5</v>
      </c>
      <c r="D11" s="2">
        <v>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11</v>
      </c>
      <c r="B12" s="2" t="s">
        <v>22</v>
      </c>
      <c r="C12" s="2">
        <v>6</v>
      </c>
      <c r="D12" s="2">
        <v>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12</v>
      </c>
      <c r="B13" s="2" t="s">
        <v>23</v>
      </c>
      <c r="C13" s="2">
        <v>3</v>
      </c>
      <c r="D13" s="2">
        <v>-1.5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14</v>
      </c>
      <c r="B14" s="2" t="s">
        <v>23</v>
      </c>
      <c r="C14" s="2">
        <v>3</v>
      </c>
      <c r="D14" s="2">
        <v>-0.5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2">
        <v>15</v>
      </c>
      <c r="B15" s="2" t="s">
        <v>23</v>
      </c>
      <c r="C15" s="2">
        <v>3</v>
      </c>
      <c r="D15" s="2">
        <v>0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16</v>
      </c>
      <c r="B16" s="2" t="s">
        <v>23</v>
      </c>
      <c r="C16" s="2">
        <v>3</v>
      </c>
      <c r="D16" s="2">
        <v>0.5</v>
      </c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17</v>
      </c>
      <c r="B17" s="2" t="s">
        <v>23</v>
      </c>
      <c r="C17" s="2">
        <v>3</v>
      </c>
      <c r="D17" s="2">
        <v>1</v>
      </c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18</v>
      </c>
      <c r="B18" s="2" t="s">
        <v>23</v>
      </c>
      <c r="C18" s="2">
        <v>3</v>
      </c>
      <c r="D18" s="2">
        <v>1.5</v>
      </c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31</v>
      </c>
      <c r="B19" s="2" t="s">
        <v>45</v>
      </c>
      <c r="C19" s="2">
        <v>1.2</v>
      </c>
      <c r="D19" s="2">
        <v>0</v>
      </c>
      <c r="E19" s="4" t="s">
        <v>18</v>
      </c>
      <c r="F19" s="2">
        <v>0.28999999999999998</v>
      </c>
      <c r="G19" s="2">
        <v>640</v>
      </c>
      <c r="H19" s="2">
        <v>210</v>
      </c>
      <c r="I19" s="2">
        <v>2.871</v>
      </c>
      <c r="J19" s="2">
        <v>2.9460000000000002</v>
      </c>
      <c r="K19" s="2">
        <v>2.99</v>
      </c>
      <c r="L19" s="2">
        <v>2.99</v>
      </c>
      <c r="M19" s="2">
        <v>0</v>
      </c>
      <c r="N19" s="2">
        <v>3</v>
      </c>
      <c r="O19" s="2">
        <v>-0.01</v>
      </c>
      <c r="P19" s="2">
        <v>-0.3</v>
      </c>
    </row>
    <row r="20" spans="1:16" x14ac:dyDescent="0.35">
      <c r="A20" s="2">
        <v>32</v>
      </c>
      <c r="B20" s="2" t="s">
        <v>45</v>
      </c>
      <c r="C20" s="2">
        <v>1.5</v>
      </c>
      <c r="D20" s="2">
        <v>0</v>
      </c>
      <c r="E20" s="4" t="s">
        <v>18</v>
      </c>
      <c r="F20" s="2">
        <v>0.6</v>
      </c>
      <c r="G20" s="2">
        <v>640</v>
      </c>
      <c r="H20" s="2">
        <v>351</v>
      </c>
      <c r="I20" s="2">
        <v>1.181</v>
      </c>
      <c r="J20" s="2">
        <v>1.256</v>
      </c>
      <c r="K20" s="2">
        <v>1.1839999999999999</v>
      </c>
      <c r="L20" s="2">
        <v>1.1839999999999999</v>
      </c>
      <c r="M20" s="2">
        <v>0</v>
      </c>
      <c r="N20" s="2">
        <v>1.2</v>
      </c>
      <c r="O20" s="2">
        <v>-1.6E-2</v>
      </c>
      <c r="P20" s="2">
        <v>-1.3</v>
      </c>
    </row>
    <row r="21" spans="1:16" x14ac:dyDescent="0.35">
      <c r="A21" s="2">
        <v>33</v>
      </c>
      <c r="B21" s="2" t="s">
        <v>45</v>
      </c>
      <c r="C21" s="2">
        <v>1.8</v>
      </c>
      <c r="D21" s="2">
        <v>0</v>
      </c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34</v>
      </c>
      <c r="B22" s="2" t="s">
        <v>45</v>
      </c>
      <c r="C22" s="2">
        <v>2</v>
      </c>
      <c r="D22" s="2">
        <v>0</v>
      </c>
      <c r="E22" s="4" t="s">
        <v>18</v>
      </c>
      <c r="F22" s="2">
        <v>0.69</v>
      </c>
      <c r="G22" s="2">
        <v>640</v>
      </c>
      <c r="H22" s="2">
        <v>275</v>
      </c>
      <c r="I22" s="2">
        <v>1.746</v>
      </c>
      <c r="J22" s="2">
        <v>1.821</v>
      </c>
      <c r="K22" s="2">
        <v>1.7869999999999999</v>
      </c>
      <c r="L22" s="2">
        <v>1.7869999999999999</v>
      </c>
      <c r="M22" s="2">
        <v>0</v>
      </c>
      <c r="N22" s="2">
        <v>1.8</v>
      </c>
      <c r="O22" s="2">
        <v>-1.2999999999999999E-2</v>
      </c>
      <c r="P22" s="2">
        <v>-0.7</v>
      </c>
    </row>
    <row r="23" spans="1:16" x14ac:dyDescent="0.35">
      <c r="A23" s="2">
        <v>35</v>
      </c>
      <c r="B23" s="2" t="s">
        <v>45</v>
      </c>
      <c r="C23" s="2">
        <v>2.2999999999999998</v>
      </c>
      <c r="D23" s="2">
        <v>0</v>
      </c>
      <c r="E23" s="4" t="s">
        <v>18</v>
      </c>
      <c r="F23" s="2">
        <v>0.7</v>
      </c>
      <c r="G23" s="2">
        <v>639</v>
      </c>
      <c r="H23" s="2">
        <v>258</v>
      </c>
      <c r="I23" s="2">
        <v>1.9319999999999999</v>
      </c>
      <c r="J23" s="2">
        <v>2.0070000000000001</v>
      </c>
      <c r="K23" s="2">
        <v>1.988</v>
      </c>
      <c r="L23" s="2">
        <v>1.988</v>
      </c>
      <c r="M23" s="2">
        <v>3.0000000000000001E-3</v>
      </c>
      <c r="N23" s="2">
        <v>2</v>
      </c>
      <c r="O23" s="2">
        <v>-1.2E-2</v>
      </c>
      <c r="P23" s="2">
        <v>-0.6</v>
      </c>
    </row>
    <row r="24" spans="1:16" x14ac:dyDescent="0.35">
      <c r="A24" s="2">
        <v>36</v>
      </c>
      <c r="B24" s="2" t="s">
        <v>44</v>
      </c>
      <c r="C24" s="2">
        <v>2.5</v>
      </c>
      <c r="D24" s="2">
        <v>0</v>
      </c>
      <c r="E24" s="4" t="s">
        <v>18</v>
      </c>
      <c r="F24" s="2">
        <v>0.33</v>
      </c>
      <c r="G24" s="2">
        <v>640</v>
      </c>
      <c r="H24" s="2">
        <v>245</v>
      </c>
      <c r="I24" s="2">
        <v>2.2200000000000002</v>
      </c>
      <c r="J24" s="2">
        <v>2.2949999999999999</v>
      </c>
      <c r="K24" s="2">
        <v>2.2879999999999998</v>
      </c>
      <c r="L24" s="2">
        <v>2.2879999999999998</v>
      </c>
      <c r="M24" s="2">
        <v>0</v>
      </c>
      <c r="N24" s="2">
        <v>2.2999999999999998</v>
      </c>
      <c r="O24" s="2">
        <v>-1.2E-2</v>
      </c>
      <c r="P24" s="2">
        <v>-0.5</v>
      </c>
    </row>
    <row r="25" spans="1:16" x14ac:dyDescent="0.35">
      <c r="A25" s="2">
        <v>37</v>
      </c>
      <c r="B25" s="2" t="s">
        <v>44</v>
      </c>
      <c r="C25" s="2">
        <v>2.8</v>
      </c>
      <c r="D25" s="2">
        <v>0</v>
      </c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38</v>
      </c>
      <c r="B26" s="2" t="s">
        <v>44</v>
      </c>
      <c r="C26" s="2">
        <v>3</v>
      </c>
      <c r="D26" s="2">
        <v>0</v>
      </c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2">
        <v>39</v>
      </c>
      <c r="B27" s="2" t="s">
        <v>44</v>
      </c>
      <c r="C27" s="2">
        <v>3.2</v>
      </c>
      <c r="D27" s="2">
        <v>0</v>
      </c>
      <c r="E27" s="4" t="s">
        <v>18</v>
      </c>
      <c r="F27" s="2">
        <v>0.28999999999999998</v>
      </c>
      <c r="G27" s="2">
        <v>640</v>
      </c>
      <c r="H27" s="2">
        <v>210</v>
      </c>
      <c r="I27" s="2">
        <v>2.871</v>
      </c>
      <c r="J27" s="2">
        <v>2.9460000000000002</v>
      </c>
      <c r="K27" s="2">
        <v>2.99</v>
      </c>
      <c r="L27" s="2">
        <v>2.99</v>
      </c>
      <c r="M27" s="2">
        <v>0</v>
      </c>
      <c r="N27" s="2">
        <v>3</v>
      </c>
      <c r="O27" s="2">
        <v>-0.01</v>
      </c>
      <c r="P27" s="2">
        <v>-0.3</v>
      </c>
    </row>
    <row r="28" spans="1:16" x14ac:dyDescent="0.35">
      <c r="A28" s="2">
        <v>40</v>
      </c>
      <c r="B28" s="2" t="s">
        <v>44</v>
      </c>
      <c r="C28" s="2">
        <v>3.5</v>
      </c>
      <c r="D28" s="2">
        <v>0</v>
      </c>
      <c r="E28" s="4" t="s">
        <v>18</v>
      </c>
      <c r="F28" s="2">
        <v>0.35</v>
      </c>
      <c r="G28" s="2">
        <v>640</v>
      </c>
      <c r="H28" s="2">
        <v>196</v>
      </c>
      <c r="I28" s="2">
        <v>3.34</v>
      </c>
      <c r="J28" s="2">
        <v>3.415</v>
      </c>
      <c r="K28" s="2">
        <v>3.4910000000000001</v>
      </c>
      <c r="L28" s="2">
        <v>3.4910000000000001</v>
      </c>
      <c r="M28" s="2">
        <v>0</v>
      </c>
      <c r="N28" s="2">
        <v>3.5</v>
      </c>
      <c r="O28" s="2">
        <v>-8.9999999999999993E-3</v>
      </c>
      <c r="P28" s="2">
        <v>-0.3</v>
      </c>
    </row>
    <row r="29" spans="1:16" x14ac:dyDescent="0.35">
      <c r="A29" s="2">
        <v>41</v>
      </c>
      <c r="B29" s="2" t="s">
        <v>43</v>
      </c>
      <c r="C29" s="2">
        <v>4</v>
      </c>
      <c r="D29" s="2">
        <v>0</v>
      </c>
      <c r="E29" s="4" t="s">
        <v>18</v>
      </c>
      <c r="F29" s="2">
        <v>0.35</v>
      </c>
      <c r="G29" s="2">
        <v>640</v>
      </c>
      <c r="H29" s="2">
        <v>196</v>
      </c>
      <c r="I29" s="2">
        <v>3.8290000000000002</v>
      </c>
      <c r="J29" s="2">
        <v>3.9039999999999999</v>
      </c>
      <c r="K29" s="2">
        <v>3.9910000000000001</v>
      </c>
      <c r="L29" s="2">
        <v>3.9910000000000001</v>
      </c>
      <c r="M29" s="2">
        <v>0</v>
      </c>
      <c r="N29" s="2">
        <v>4</v>
      </c>
      <c r="O29" s="2">
        <v>-8.9999999999999993E-3</v>
      </c>
      <c r="P29" s="2">
        <v>-0.2</v>
      </c>
    </row>
    <row r="30" spans="1:16" x14ac:dyDescent="0.35">
      <c r="A30" s="2">
        <v>42</v>
      </c>
      <c r="B30" s="2" t="s">
        <v>43</v>
      </c>
      <c r="C30" s="2">
        <v>4.5</v>
      </c>
      <c r="D30" s="2">
        <v>0</v>
      </c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43</v>
      </c>
      <c r="B31" s="2" t="s">
        <v>43</v>
      </c>
      <c r="C31" s="2">
        <v>5</v>
      </c>
      <c r="D31" s="2">
        <v>0</v>
      </c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44</v>
      </c>
      <c r="B32" s="2" t="s">
        <v>42</v>
      </c>
      <c r="C32" s="2">
        <v>2</v>
      </c>
      <c r="D32" s="2">
        <v>-0.3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45</v>
      </c>
      <c r="B33" s="2" t="s">
        <v>42</v>
      </c>
      <c r="C33" s="2">
        <v>2</v>
      </c>
      <c r="D33" s="2">
        <v>0</v>
      </c>
      <c r="E33" s="4" t="s">
        <v>18</v>
      </c>
      <c r="F33" s="2">
        <v>0.65</v>
      </c>
      <c r="G33" s="2">
        <v>739</v>
      </c>
      <c r="H33" s="2">
        <v>259</v>
      </c>
      <c r="I33" s="2">
        <v>1.9350000000000001</v>
      </c>
      <c r="J33" s="2">
        <v>2.0099999999999998</v>
      </c>
      <c r="K33" s="2">
        <v>2.0110000000000001</v>
      </c>
      <c r="L33" s="2">
        <v>1.9890000000000001</v>
      </c>
      <c r="M33" s="2">
        <v>-0.29499999999999998</v>
      </c>
      <c r="N33" s="2">
        <v>2.0219999999999998</v>
      </c>
      <c r="O33" s="2">
        <v>-1.2E-2</v>
      </c>
      <c r="P33" s="2">
        <v>-0.6</v>
      </c>
    </row>
    <row r="34" spans="1:16" x14ac:dyDescent="0.35">
      <c r="A34" s="2">
        <v>46</v>
      </c>
      <c r="B34" s="2" t="s">
        <v>42</v>
      </c>
      <c r="C34" s="2">
        <v>2</v>
      </c>
      <c r="D34" s="2">
        <v>0.3</v>
      </c>
      <c r="E34" s="4" t="s">
        <v>18</v>
      </c>
      <c r="F34" s="2">
        <v>0.65</v>
      </c>
      <c r="G34" s="2">
        <v>739</v>
      </c>
      <c r="H34" s="2">
        <v>259</v>
      </c>
      <c r="I34" s="2">
        <v>1.9350000000000001</v>
      </c>
      <c r="J34" s="2">
        <v>2.0099999999999998</v>
      </c>
      <c r="K34" s="2">
        <v>2.0110000000000001</v>
      </c>
      <c r="L34" s="2">
        <v>1.9890000000000001</v>
      </c>
      <c r="M34" s="2">
        <v>-0.29499999999999998</v>
      </c>
      <c r="N34" s="2">
        <v>2</v>
      </c>
      <c r="O34" s="2">
        <v>1.0999999999999999E-2</v>
      </c>
      <c r="P34" s="2">
        <v>0.5</v>
      </c>
    </row>
    <row r="35" spans="1:16" x14ac:dyDescent="0.35">
      <c r="A35" s="2">
        <v>47</v>
      </c>
      <c r="B35" s="2" t="s">
        <v>41</v>
      </c>
      <c r="C35" s="2">
        <v>3</v>
      </c>
      <c r="D35" s="2">
        <v>-0.5</v>
      </c>
      <c r="E35" s="4" t="s">
        <v>18</v>
      </c>
      <c r="F35" s="2">
        <v>0.7</v>
      </c>
      <c r="G35" s="2">
        <v>639</v>
      </c>
      <c r="H35" s="2">
        <v>258</v>
      </c>
      <c r="I35" s="2">
        <v>1.9319999999999999</v>
      </c>
      <c r="J35" s="2">
        <v>2.0070000000000001</v>
      </c>
      <c r="K35" s="2">
        <v>1.988</v>
      </c>
      <c r="L35" s="2">
        <v>1.988</v>
      </c>
      <c r="M35" s="2">
        <v>3.0000000000000001E-3</v>
      </c>
      <c r="N35" s="2">
        <v>2.0219999999999998</v>
      </c>
      <c r="O35" s="2">
        <v>-3.5000000000000003E-2</v>
      </c>
      <c r="P35" s="2">
        <v>-1.7</v>
      </c>
    </row>
    <row r="36" spans="1:16" x14ac:dyDescent="0.35">
      <c r="A36" s="2">
        <v>48</v>
      </c>
      <c r="B36" s="2" t="s">
        <v>41</v>
      </c>
      <c r="C36" s="2">
        <v>3</v>
      </c>
      <c r="D36" s="2">
        <v>-0.3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49</v>
      </c>
      <c r="B37" s="2" t="s">
        <v>41</v>
      </c>
      <c r="C37" s="2">
        <v>3</v>
      </c>
      <c r="D37" s="2">
        <v>0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50</v>
      </c>
      <c r="B38" s="2" t="s">
        <v>41</v>
      </c>
      <c r="C38" s="2">
        <v>3</v>
      </c>
      <c r="D38" s="2">
        <v>0.3</v>
      </c>
      <c r="E38" s="4" t="s">
        <v>18</v>
      </c>
      <c r="F38" s="2">
        <v>0.28999999999999998</v>
      </c>
      <c r="G38" s="2">
        <v>640</v>
      </c>
      <c r="H38" s="2">
        <v>210</v>
      </c>
      <c r="I38" s="2">
        <v>2.871</v>
      </c>
      <c r="J38" s="2">
        <v>2.9460000000000002</v>
      </c>
      <c r="K38" s="2">
        <v>2.99</v>
      </c>
      <c r="L38" s="2">
        <v>2.99</v>
      </c>
      <c r="M38" s="2">
        <v>0</v>
      </c>
      <c r="N38" s="2">
        <v>3.0150000000000001</v>
      </c>
      <c r="O38" s="2">
        <v>-2.5000000000000001E-2</v>
      </c>
      <c r="P38" s="2">
        <v>-0.8</v>
      </c>
    </row>
    <row r="39" spans="1:16" x14ac:dyDescent="0.35">
      <c r="A39" s="2">
        <v>51</v>
      </c>
      <c r="B39" s="2" t="s">
        <v>41</v>
      </c>
      <c r="C39" s="2">
        <v>3</v>
      </c>
      <c r="D39" s="2">
        <v>0.5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52</v>
      </c>
      <c r="B40" s="2" t="s">
        <v>40</v>
      </c>
      <c r="C40" s="2">
        <v>4</v>
      </c>
      <c r="D40" s="2">
        <v>-0.5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53</v>
      </c>
      <c r="B41" s="2" t="s">
        <v>40</v>
      </c>
      <c r="C41" s="2">
        <v>4</v>
      </c>
      <c r="D41" s="2">
        <v>0</v>
      </c>
      <c r="E41" s="4" t="s">
        <v>18</v>
      </c>
      <c r="F41" s="2">
        <v>0.45</v>
      </c>
      <c r="G41" s="2">
        <v>725</v>
      </c>
      <c r="H41" s="2">
        <v>181</v>
      </c>
      <c r="I41" s="2">
        <v>3.8029999999999999</v>
      </c>
      <c r="J41" s="2">
        <v>3.8780000000000001</v>
      </c>
      <c r="K41" s="2">
        <v>4.0229999999999997</v>
      </c>
      <c r="L41" s="2">
        <v>3.9929999999999999</v>
      </c>
      <c r="M41" s="2">
        <v>-0.48899999999999999</v>
      </c>
      <c r="N41" s="2">
        <v>4</v>
      </c>
      <c r="O41" s="2">
        <v>2.3E-2</v>
      </c>
      <c r="P41" s="2">
        <v>0.6</v>
      </c>
    </row>
    <row r="42" spans="1:16" x14ac:dyDescent="0.35">
      <c r="A42" s="2">
        <v>54</v>
      </c>
      <c r="B42" s="2" t="s">
        <v>40</v>
      </c>
      <c r="C42" s="2">
        <v>4</v>
      </c>
      <c r="D42" s="2">
        <v>0.5</v>
      </c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8"/>
  <sheetViews>
    <sheetView zoomScale="130" zoomScaleNormal="130" workbookViewId="0">
      <pane ySplit="1" topLeftCell="A14" activePane="bottomLeft" state="frozen"/>
      <selection pane="bottomLeft" activeCell="D16" sqref="D16:D34"/>
    </sheetView>
  </sheetViews>
  <sheetFormatPr defaultRowHeight="14.5" x14ac:dyDescent="0.35"/>
  <cols>
    <col min="1" max="1" width="37.90625" bestFit="1" customWidth="1"/>
    <col min="2" max="2" width="5.26953125" style="29" bestFit="1" customWidth="1"/>
    <col min="3" max="3" width="9.81640625" style="29" bestFit="1" customWidth="1"/>
    <col min="4" max="4" width="8.1796875" style="30" bestFit="1" customWidth="1"/>
    <col min="5" max="5" width="6.453125" style="29" bestFit="1" customWidth="1"/>
    <col min="6" max="6" width="10" style="31" bestFit="1" customWidth="1"/>
    <col min="7" max="7" width="11.90625" style="31" bestFit="1" customWidth="1"/>
    <col min="8" max="8" width="8.08984375" style="31" bestFit="1" customWidth="1"/>
    <col min="9" max="9" width="13.54296875" style="31" bestFit="1" customWidth="1"/>
    <col min="10" max="10" width="10.36328125" style="31" bestFit="1" customWidth="1"/>
    <col min="11" max="11" width="10.7265625" style="31" bestFit="1" customWidth="1"/>
  </cols>
  <sheetData>
    <row r="1" spans="1:11" x14ac:dyDescent="0.35">
      <c r="A1" s="13" t="s">
        <v>24</v>
      </c>
      <c r="B1" s="14"/>
      <c r="C1" s="14"/>
      <c r="D1" s="15"/>
      <c r="E1" s="14"/>
      <c r="F1" s="16"/>
      <c r="G1" s="16"/>
      <c r="H1" s="16"/>
      <c r="I1" s="16"/>
      <c r="J1" s="16"/>
      <c r="K1" s="16"/>
    </row>
    <row r="2" spans="1:11" x14ac:dyDescent="0.35">
      <c r="A2" s="9" t="s">
        <v>25</v>
      </c>
      <c r="B2" s="10" t="s">
        <v>26</v>
      </c>
      <c r="C2" s="10" t="s">
        <v>27</v>
      </c>
      <c r="D2" s="11" t="s">
        <v>28</v>
      </c>
      <c r="E2" s="10" t="s">
        <v>29</v>
      </c>
      <c r="F2" s="12" t="s">
        <v>30</v>
      </c>
      <c r="G2" s="12" t="s">
        <v>48</v>
      </c>
      <c r="H2" s="12" t="s">
        <v>31</v>
      </c>
      <c r="I2" s="12" t="s">
        <v>32</v>
      </c>
      <c r="J2" s="12" t="s">
        <v>33</v>
      </c>
      <c r="K2" s="12" t="s">
        <v>34</v>
      </c>
    </row>
    <row r="3" spans="1:11" x14ac:dyDescent="0.35">
      <c r="A3" s="17">
        <v>10</v>
      </c>
      <c r="B3" s="18">
        <f>COUNTIF('Lighting Trials'!$A$2:$A$383,$A3)</f>
        <v>40</v>
      </c>
      <c r="C3" s="18">
        <f>COUNTIFS('Lighting Trials'!$A$2:$A$383,$A3,'Lighting Trials'!$F$2:$F$383,"&lt;&gt;")</f>
        <v>18</v>
      </c>
      <c r="D3" s="19">
        <f t="shared" ref="D3:D12" si="0">C3/B3</f>
        <v>0.45</v>
      </c>
      <c r="E3" s="18">
        <f t="shared" ref="E3:E12" si="1">B3-C3</f>
        <v>22</v>
      </c>
      <c r="F3" s="20">
        <f>ROUND(AVERAGEIFS('Lighting Trials'!$G$2:$G$383,'Lighting Trials'!$A$2:$A$383,$A3,'Lighting Trials'!$F$2:$F$383,"&lt;&gt;"),4)</f>
        <v>0.6633</v>
      </c>
      <c r="G3" s="20">
        <f>ROUND(AVERAGEIFS('Lighting Trials'!$P$2:$P$383,'Lighting Trials'!$A$2:$A$383,$A3,'Lighting Trials'!$F$2:$F$383,"&lt;&gt;"),4)</f>
        <v>-7.3999999999999996E-2</v>
      </c>
      <c r="H3" s="20" cm="1">
        <f t="array" ref="H3">ROUND(AVERAGE(_xlfn._xlws.FILTER(ABS('Lighting Trials'!$P$2:$P$383),('Lighting Trials'!$A$2:$A$383=$A3)*('Lighting Trials'!$F$2:$F$383&lt;&gt;""))),4)</f>
        <v>9.0700000000000003E-2</v>
      </c>
      <c r="I3" s="20" cm="1">
        <f t="array" ref="I3">ROUND(MEDIAN(_xlfn._xlws.FILTER(ABS('Lighting Trials'!$P$2:$P$383),('Lighting Trials'!$A$2:$A$383=$A3)*('Lighting Trials'!$F$2:$F$383&lt;&gt;""))),4)</f>
        <v>1.2E-2</v>
      </c>
      <c r="J3" s="20" cm="1">
        <f t="array" ref="J3">ROUND(MIN(_xlfn._xlws.FILTER(ABS('Lighting Trials'!$P$2:$P$383),('Lighting Trials'!$A$2:$A$383=$A3)*('Lighting Trials'!$F$2:$F$383&lt;&gt;""))),4)</f>
        <v>7.0000000000000001E-3</v>
      </c>
      <c r="K3" s="20" cm="1">
        <f t="array" ref="K3">ROUND(MAX(_xlfn._xlws.FILTER(ABS('Lighting Trials'!$P$2:$P$383),('Lighting Trials'!$A$2:$A$383=$A3)*('Lighting Trials'!$F$2:$F$383&lt;&gt;""))),4)</f>
        <v>0.27400000000000002</v>
      </c>
    </row>
    <row r="4" spans="1:11" x14ac:dyDescent="0.35">
      <c r="A4" s="17">
        <v>20</v>
      </c>
      <c r="B4" s="18">
        <f>COUNTIF('Lighting Trials'!$A$2:$A$383,$A4)</f>
        <v>40</v>
      </c>
      <c r="C4" s="18">
        <f>COUNTIFS('Lighting Trials'!$A$2:$A$383,$A4,'Lighting Trials'!$F$2:$F$383,"&lt;&gt;")</f>
        <v>26</v>
      </c>
      <c r="D4" s="19">
        <f t="shared" si="0"/>
        <v>0.65</v>
      </c>
      <c r="E4" s="18">
        <f t="shared" si="1"/>
        <v>14</v>
      </c>
      <c r="F4" s="20">
        <f>ROUND(AVERAGEIFS('Lighting Trials'!$G$2:$G$383,'Lighting Trials'!$A$2:$A$383,$A4,'Lighting Trials'!$F$2:$F$383,"&lt;&gt;"),4)</f>
        <v>0.66149999999999998</v>
      </c>
      <c r="G4" s="20">
        <f>ROUND(AVERAGEIFS('Lighting Trials'!$P$2:$P$383,'Lighting Trials'!$A$2:$A$383,$A4,'Lighting Trials'!$F$2:$F$383,"&lt;&gt;"),4)</f>
        <v>1.47E-2</v>
      </c>
      <c r="H4" s="20" cm="1">
        <f t="array" ref="H4">ROUND(AVERAGE(_xlfn._xlws.FILTER(ABS('Lighting Trials'!$P$2:$P$383),('Lighting Trials'!$A$2:$A$383=$A4)*('Lighting Trials'!$F$2:$F$383&lt;&gt;""))),4)</f>
        <v>2.69E-2</v>
      </c>
      <c r="I4" s="20" cm="1">
        <f t="array" ref="I4">ROUND(MEDIAN(_xlfn._xlws.FILTER(ABS('Lighting Trials'!$P$2:$P$383),('Lighting Trials'!$A$2:$A$383=$A4)*('Lighting Trials'!$F$2:$F$383&lt;&gt;""))),4)</f>
        <v>8.9999999999999993E-3</v>
      </c>
      <c r="J4" s="20" cm="1">
        <f t="array" ref="J4">ROUND(MIN(_xlfn._xlws.FILTER(ABS('Lighting Trials'!$P$2:$P$383),('Lighting Trials'!$A$2:$A$383=$A4)*('Lighting Trials'!$F$2:$F$383&lt;&gt;""))),4)</f>
        <v>1E-3</v>
      </c>
      <c r="K4" s="20" cm="1">
        <f t="array" ref="K4">ROUND(MAX(_xlfn._xlws.FILTER(ABS('Lighting Trials'!$P$2:$P$383),('Lighting Trials'!$A$2:$A$383=$A4)*('Lighting Trials'!$F$2:$F$383&lt;&gt;""))),4)</f>
        <v>0.255</v>
      </c>
    </row>
    <row r="5" spans="1:11" x14ac:dyDescent="0.35">
      <c r="A5" s="17">
        <v>30</v>
      </c>
      <c r="B5" s="18">
        <f>COUNTIF('Lighting Trials'!$A$2:$A$383,$A5)</f>
        <v>22</v>
      </c>
      <c r="C5" s="18">
        <f>COUNTIFS('Lighting Trials'!$A$2:$A$383,$A5,'Lighting Trials'!$F$2:$F$383,"&lt;&gt;")</f>
        <v>14</v>
      </c>
      <c r="D5" s="19">
        <f t="shared" si="0"/>
        <v>0.63636363636363635</v>
      </c>
      <c r="E5" s="18">
        <f t="shared" si="1"/>
        <v>8</v>
      </c>
      <c r="F5" s="20">
        <f>ROUND(AVERAGEIFS('Lighting Trials'!$G$2:$G$383,'Lighting Trials'!$A$2:$A$383,$A5,'Lighting Trials'!$F$2:$F$383,"&lt;&gt;"),4)</f>
        <v>0.68289999999999995</v>
      </c>
      <c r="G5" s="20">
        <f>ROUND(AVERAGEIFS('Lighting Trials'!$P$2:$P$383,'Lighting Trials'!$A$2:$A$383,$A5,'Lighting Trials'!$F$2:$F$383,"&lt;&gt;"),4)</f>
        <v>-4.8800000000000003E-2</v>
      </c>
      <c r="H5" s="20" cm="1">
        <f t="array" ref="H5">ROUND(AVERAGE(_xlfn._xlws.FILTER(ABS('Lighting Trials'!$P$2:$P$383),('Lighting Trials'!$A$2:$A$383=$A5)*('Lighting Trials'!$F$2:$F$383&lt;&gt;""))),4)</f>
        <v>8.4199999999999997E-2</v>
      </c>
      <c r="I5" s="20" cm="1">
        <f t="array" ref="I5">ROUND(MEDIAN(_xlfn._xlws.FILTER(ABS('Lighting Trials'!$P$2:$P$383),('Lighting Trials'!$A$2:$A$383=$A5)*('Lighting Trials'!$F$2:$F$383&lt;&gt;""))),4)</f>
        <v>1.2500000000000001E-2</v>
      </c>
      <c r="J5" s="20" cm="1">
        <f t="array" ref="J5">ROUND(MIN(_xlfn._xlws.FILTER(ABS('Lighting Trials'!$P$2:$P$383),('Lighting Trials'!$A$2:$A$383=$A5)*('Lighting Trials'!$F$2:$F$383&lt;&gt;""))),4)</f>
        <v>8.0000000000000002E-3</v>
      </c>
      <c r="K5" s="20" cm="1">
        <f t="array" ref="K5">ROUND(MAX(_xlfn._xlws.FILTER(ABS('Lighting Trials'!$P$2:$P$383),('Lighting Trials'!$A$2:$A$383=$A5)*('Lighting Trials'!$F$2:$F$383&lt;&gt;""))),4)</f>
        <v>0.27500000000000002</v>
      </c>
    </row>
    <row r="6" spans="1:11" x14ac:dyDescent="0.35">
      <c r="A6" s="17">
        <v>40</v>
      </c>
      <c r="B6" s="18">
        <f>COUNTIF('Lighting Trials'!$A$2:$A$383,$A6)</f>
        <v>40</v>
      </c>
      <c r="C6" s="18">
        <f>COUNTIFS('Lighting Trials'!$A$2:$A$383,$A6,'Lighting Trials'!$F$2:$F$383,"&lt;&gt;")</f>
        <v>22</v>
      </c>
      <c r="D6" s="19">
        <f t="shared" si="0"/>
        <v>0.55000000000000004</v>
      </c>
      <c r="E6" s="18">
        <f t="shared" si="1"/>
        <v>18</v>
      </c>
      <c r="F6" s="20">
        <f>ROUND(AVERAGEIFS('Lighting Trials'!$G$2:$G$383,'Lighting Trials'!$A$2:$A$383,$A6,'Lighting Trials'!$F$2:$F$383,"&lt;&gt;"),4)</f>
        <v>0.7359</v>
      </c>
      <c r="G6" s="20">
        <f>ROUND(AVERAGEIFS('Lighting Trials'!$P$2:$P$383,'Lighting Trials'!$A$2:$A$383,$A6,'Lighting Trials'!$F$2:$F$383,"&lt;&gt;"),4)</f>
        <v>0.13189999999999999</v>
      </c>
      <c r="H6" s="20" cm="1">
        <f t="array" ref="H6">ROUND(AVERAGE(_xlfn._xlws.FILTER(ABS('Lighting Trials'!$P$2:$P$383),('Lighting Trials'!$A$2:$A$383=$A6)*('Lighting Trials'!$F$2:$F$383&lt;&gt;""))),4)</f>
        <v>0.21940000000000001</v>
      </c>
      <c r="I6" s="20" cm="1">
        <f t="array" ref="I6">ROUND(MEDIAN(_xlfn._xlws.FILTER(ABS('Lighting Trials'!$P$2:$P$383),('Lighting Trials'!$A$2:$A$383=$A6)*('Lighting Trials'!$F$2:$F$383&lt;&gt;""))),4)</f>
        <v>1.15E-2</v>
      </c>
      <c r="J6" s="20" cm="1">
        <f t="array" ref="J6">ROUND(MIN(_xlfn._xlws.FILTER(ABS('Lighting Trials'!$P$2:$P$383),('Lighting Trials'!$A$2:$A$383=$A6)*('Lighting Trials'!$F$2:$F$383&lt;&gt;""))),4)</f>
        <v>2E-3</v>
      </c>
      <c r="K6" s="20" cm="1">
        <f t="array" ref="K6">ROUND(MAX(_xlfn._xlws.FILTER(ABS('Lighting Trials'!$P$2:$P$383),('Lighting Trials'!$A$2:$A$383=$A6)*('Lighting Trials'!$F$2:$F$383&lt;&gt;""))),4)</f>
        <v>2.1070000000000002</v>
      </c>
    </row>
    <row r="7" spans="1:11" x14ac:dyDescent="0.35">
      <c r="A7" s="17">
        <v>50</v>
      </c>
      <c r="B7" s="18">
        <f>COUNTIF('Lighting Trials'!$A$2:$A$383,$A7)</f>
        <v>40</v>
      </c>
      <c r="C7" s="18">
        <f>COUNTIFS('Lighting Trials'!$A$2:$A$383,$A7,'Lighting Trials'!$F$2:$F$383,"&lt;&gt;")</f>
        <v>22</v>
      </c>
      <c r="D7" s="19">
        <f t="shared" si="0"/>
        <v>0.55000000000000004</v>
      </c>
      <c r="E7" s="18">
        <f t="shared" si="1"/>
        <v>18</v>
      </c>
      <c r="F7" s="20">
        <f>ROUND(AVERAGEIFS('Lighting Trials'!$G$2:$G$383,'Lighting Trials'!$A$2:$A$383,$A7,'Lighting Trials'!$F$2:$F$383,"&lt;&gt;"),4)</f>
        <v>0.74</v>
      </c>
      <c r="G7" s="20">
        <f>ROUND(AVERAGEIFS('Lighting Trials'!$P$2:$P$383,'Lighting Trials'!$A$2:$A$383,$A7,'Lighting Trials'!$F$2:$F$383,"&lt;&gt;"),4)</f>
        <v>-1.5599999999999999E-2</v>
      </c>
      <c r="H7" s="20" cm="1">
        <f t="array" ref="H7">ROUND(AVERAGE(_xlfn._xlws.FILTER(ABS('Lighting Trials'!$P$2:$P$383),('Lighting Trials'!$A$2:$A$383=$A7)*('Lighting Trials'!$F$2:$F$383&lt;&gt;""))),4)</f>
        <v>2.0899999999999998E-2</v>
      </c>
      <c r="I7" s="20" cm="1">
        <f t="array" ref="I7">ROUND(MEDIAN(_xlfn._xlws.FILTER(ABS('Lighting Trials'!$P$2:$P$383),('Lighting Trials'!$A$2:$A$383=$A7)*('Lighting Trials'!$F$2:$F$383&lt;&gt;""))),4)</f>
        <v>9.4999999999999998E-3</v>
      </c>
      <c r="J7" s="20" cm="1">
        <f t="array" ref="J7">ROUND(MIN(_xlfn._xlws.FILTER(ABS('Lighting Trials'!$P$2:$P$383),('Lighting Trials'!$A$2:$A$383=$A7)*('Lighting Trials'!$F$2:$F$383&lt;&gt;""))),4)</f>
        <v>2E-3</v>
      </c>
      <c r="K7" s="20" cm="1">
        <f t="array" ref="K7">ROUND(MAX(_xlfn._xlws.FILTER(ABS('Lighting Trials'!$P$2:$P$383),('Lighting Trials'!$A$2:$A$383=$A7)*('Lighting Trials'!$F$2:$F$383&lt;&gt;""))),4)</f>
        <v>0.27100000000000002</v>
      </c>
    </row>
    <row r="8" spans="1:11" x14ac:dyDescent="0.35">
      <c r="A8" s="17">
        <v>60</v>
      </c>
      <c r="B8" s="18">
        <f>COUNTIF('Lighting Trials'!$A$2:$A$383,$A8)</f>
        <v>40</v>
      </c>
      <c r="C8" s="18">
        <f>COUNTIFS('Lighting Trials'!$A$2:$A$383,$A8,'Lighting Trials'!$F$2:$F$383,"&lt;&gt;")</f>
        <v>24</v>
      </c>
      <c r="D8" s="19">
        <f t="shared" si="0"/>
        <v>0.6</v>
      </c>
      <c r="E8" s="18">
        <f t="shared" si="1"/>
        <v>16</v>
      </c>
      <c r="F8" s="20">
        <f>ROUND(AVERAGEIFS('Lighting Trials'!$G$2:$G$383,'Lighting Trials'!$A$2:$A$383,$A8,'Lighting Trials'!$F$2:$F$383,"&lt;&gt;"),4)</f>
        <v>0.75880000000000003</v>
      </c>
      <c r="G8" s="20">
        <f>ROUND(AVERAGEIFS('Lighting Trials'!$P$2:$P$383,'Lighting Trials'!$A$2:$A$383,$A8,'Lighting Trials'!$F$2:$F$383,"&lt;&gt;"),4)</f>
        <v>4.65E-2</v>
      </c>
      <c r="H8" s="20" cm="1">
        <f t="array" ref="H8">ROUND(AVERAGE(_xlfn._xlws.FILTER(ABS('Lighting Trials'!$P$2:$P$383),('Lighting Trials'!$A$2:$A$383=$A8)*('Lighting Trials'!$F$2:$F$383&lt;&gt;""))),4)</f>
        <v>0.14580000000000001</v>
      </c>
      <c r="I8" s="20" cm="1">
        <f t="array" ref="I8">ROUND(MEDIAN(_xlfn._xlws.FILTER(ABS('Lighting Trials'!$P$2:$P$383),('Lighting Trials'!$A$2:$A$383=$A8)*('Lighting Trials'!$F$2:$F$383&lt;&gt;""))),4)</f>
        <v>1.35E-2</v>
      </c>
      <c r="J8" s="20" cm="1">
        <f t="array" ref="J8">ROUND(MIN(_xlfn._xlws.FILTER(ABS('Lighting Trials'!$P$2:$P$383),('Lighting Trials'!$A$2:$A$383=$A8)*('Lighting Trials'!$F$2:$F$383&lt;&gt;""))),4)</f>
        <v>2E-3</v>
      </c>
      <c r="K8" s="20" cm="1">
        <f t="array" ref="K8">ROUND(MAX(_xlfn._xlws.FILTER(ABS('Lighting Trials'!$P$2:$P$383),('Lighting Trials'!$A$2:$A$383=$A8)*('Lighting Trials'!$F$2:$F$383&lt;&gt;""))),4)</f>
        <v>1.7130000000000001</v>
      </c>
    </row>
    <row r="9" spans="1:11" x14ac:dyDescent="0.35">
      <c r="A9" s="17">
        <v>70</v>
      </c>
      <c r="B9" s="18">
        <f>COUNTIF('Lighting Trials'!$A$2:$A$383,$A9)</f>
        <v>40</v>
      </c>
      <c r="C9" s="18">
        <f>COUNTIFS('Lighting Trials'!$A$2:$A$383,$A9,'Lighting Trials'!$F$2:$F$383,"&lt;&gt;")</f>
        <v>25</v>
      </c>
      <c r="D9" s="19">
        <f t="shared" si="0"/>
        <v>0.625</v>
      </c>
      <c r="E9" s="18">
        <f t="shared" si="1"/>
        <v>15</v>
      </c>
      <c r="F9" s="20">
        <f>ROUND(AVERAGEIFS('Lighting Trials'!$G$2:$G$383,'Lighting Trials'!$A$2:$A$383,$A9,'Lighting Trials'!$F$2:$F$383,"&lt;&gt;"),4)</f>
        <v>0.74360000000000004</v>
      </c>
      <c r="G9" s="20">
        <f>ROUND(AVERAGEIFS('Lighting Trials'!$P$2:$P$383,'Lighting Trials'!$A$2:$A$383,$A9,'Lighting Trials'!$F$2:$F$383,"&lt;&gt;"),4)</f>
        <v>-2.2200000000000001E-2</v>
      </c>
      <c r="H9" s="20" cm="1">
        <f t="array" ref="H9">ROUND(AVERAGE(_xlfn._xlws.FILTER(ABS('Lighting Trials'!$P$2:$P$383),('Lighting Trials'!$A$2:$A$383=$A9)*('Lighting Trials'!$F$2:$F$383&lt;&gt;""))),4)</f>
        <v>4.5199999999999997E-2</v>
      </c>
      <c r="I9" s="20" cm="1">
        <f t="array" ref="I9">ROUND(MEDIAN(_xlfn._xlws.FILTER(ABS('Lighting Trials'!$P$2:$P$383),('Lighting Trials'!$A$2:$A$383=$A9)*('Lighting Trials'!$F$2:$F$383&lt;&gt;""))),4)</f>
        <v>1.0999999999999999E-2</v>
      </c>
      <c r="J9" s="20" cm="1">
        <f t="array" ref="J9">ROUND(MIN(_xlfn._xlws.FILTER(ABS('Lighting Trials'!$P$2:$P$383),('Lighting Trials'!$A$2:$A$383=$A9)*('Lighting Trials'!$F$2:$F$383&lt;&gt;""))),4)</f>
        <v>2E-3</v>
      </c>
      <c r="K9" s="20" cm="1">
        <f t="array" ref="K9">ROUND(MAX(_xlfn._xlws.FILTER(ABS('Lighting Trials'!$P$2:$P$383),('Lighting Trials'!$A$2:$A$383=$A9)*('Lighting Trials'!$F$2:$F$383&lt;&gt;""))),4)</f>
        <v>0.27500000000000002</v>
      </c>
    </row>
    <row r="10" spans="1:11" x14ac:dyDescent="0.35">
      <c r="A10" s="17">
        <v>80</v>
      </c>
      <c r="B10" s="18">
        <f>COUNTIF('Lighting Trials'!$A$2:$A$383,$A10)</f>
        <v>40</v>
      </c>
      <c r="C10" s="18">
        <f>COUNTIFS('Lighting Trials'!$A$2:$A$383,$A10,'Lighting Trials'!$F$2:$F$383,"&lt;&gt;")</f>
        <v>30</v>
      </c>
      <c r="D10" s="19">
        <f t="shared" si="0"/>
        <v>0.75</v>
      </c>
      <c r="E10" s="18">
        <f t="shared" si="1"/>
        <v>10</v>
      </c>
      <c r="F10" s="20">
        <f>ROUND(AVERAGEIFS('Lighting Trials'!$G$2:$G$383,'Lighting Trials'!$A$2:$A$383,$A10,'Lighting Trials'!$F$2:$F$383,"&lt;&gt;"),4)</f>
        <v>0.73699999999999999</v>
      </c>
      <c r="G10" s="20">
        <f>ROUND(AVERAGEIFS('Lighting Trials'!$P$2:$P$383,'Lighting Trials'!$A$2:$A$383,$A10,'Lighting Trials'!$F$2:$F$383,"&lt;&gt;"),4)</f>
        <v>-2.69E-2</v>
      </c>
      <c r="H10" s="20" cm="1">
        <f t="array" ref="H10">ROUND(AVERAGE(_xlfn._xlws.FILTER(ABS('Lighting Trials'!$P$2:$P$383),('Lighting Trials'!$A$2:$A$383=$A10)*('Lighting Trials'!$F$2:$F$383&lt;&gt;""))),4)</f>
        <v>6.1100000000000002E-2</v>
      </c>
      <c r="I10" s="20" cm="1">
        <f t="array" ref="I10">ROUND(MEDIAN(_xlfn._xlws.FILTER(ABS('Lighting Trials'!$P$2:$P$383),('Lighting Trials'!$A$2:$A$383=$A10)*('Lighting Trials'!$F$2:$F$383&lt;&gt;""))),4)</f>
        <v>1.15E-2</v>
      </c>
      <c r="J10" s="20" cm="1">
        <f t="array" ref="J10">ROUND(MIN(_xlfn._xlws.FILTER(ABS('Lighting Trials'!$P$2:$P$383),('Lighting Trials'!$A$2:$A$383=$A10)*('Lighting Trials'!$F$2:$F$383&lt;&gt;""))),4)</f>
        <v>1E-3</v>
      </c>
      <c r="K10" s="20" cm="1">
        <f t="array" ref="K10">ROUND(MAX(_xlfn._xlws.FILTER(ABS('Lighting Trials'!$P$2:$P$383),('Lighting Trials'!$A$2:$A$383=$A10)*('Lighting Trials'!$F$2:$F$383&lt;&gt;""))),4)</f>
        <v>0.27500000000000002</v>
      </c>
    </row>
    <row r="11" spans="1:11" x14ac:dyDescent="0.35">
      <c r="A11" s="17">
        <v>90</v>
      </c>
      <c r="B11" s="18">
        <f>COUNTIF('Lighting Trials'!$A$2:$A$383,$A11)</f>
        <v>40</v>
      </c>
      <c r="C11" s="18">
        <f>COUNTIFS('Lighting Trials'!$A$2:$A$383,$A11,'Lighting Trials'!$F$2:$F$383,"&lt;&gt;")</f>
        <v>29</v>
      </c>
      <c r="D11" s="19">
        <f t="shared" si="0"/>
        <v>0.72499999999999998</v>
      </c>
      <c r="E11" s="18">
        <f t="shared" si="1"/>
        <v>11</v>
      </c>
      <c r="F11" s="20">
        <f>ROUND(AVERAGEIFS('Lighting Trials'!$G$2:$G$383,'Lighting Trials'!$A$2:$A$383,$A11,'Lighting Trials'!$F$2:$F$383,"&lt;&gt;"),4)</f>
        <v>0.7238</v>
      </c>
      <c r="G11" s="20">
        <f>ROUND(AVERAGEIFS('Lighting Trials'!$P$2:$P$383,'Lighting Trials'!$A$2:$A$383,$A11,'Lighting Trials'!$F$2:$F$383,"&lt;&gt;"),4)</f>
        <v>-7.7999999999999996E-3</v>
      </c>
      <c r="H11" s="20" cm="1">
        <f t="array" ref="H11">ROUND(AVERAGE(_xlfn._xlws.FILTER(ABS('Lighting Trials'!$P$2:$P$383),('Lighting Trials'!$A$2:$A$383=$A11)*('Lighting Trials'!$F$2:$F$383&lt;&gt;""))),4)</f>
        <v>4.2000000000000003E-2</v>
      </c>
      <c r="I11" s="20" cm="1">
        <f t="array" ref="I11">ROUND(MEDIAN(_xlfn._xlws.FILTER(ABS('Lighting Trials'!$P$2:$P$383),('Lighting Trials'!$A$2:$A$383=$A11)*('Lighting Trials'!$F$2:$F$383&lt;&gt;""))),4)</f>
        <v>1.0999999999999999E-2</v>
      </c>
      <c r="J11" s="20" cm="1">
        <f t="array" ref="J11">ROUND(MIN(_xlfn._xlws.FILTER(ABS('Lighting Trials'!$P$2:$P$383),('Lighting Trials'!$A$2:$A$383=$A11)*('Lighting Trials'!$F$2:$F$383&lt;&gt;""))),4)</f>
        <v>1E-3</v>
      </c>
      <c r="K11" s="20" cm="1">
        <f t="array" ref="K11">ROUND(MAX(_xlfn._xlws.FILTER(ABS('Lighting Trials'!$P$2:$P$383),('Lighting Trials'!$A$2:$A$383=$A11)*('Lighting Trials'!$F$2:$F$383&lt;&gt;""))),4)</f>
        <v>0.27400000000000002</v>
      </c>
    </row>
    <row r="12" spans="1:11" x14ac:dyDescent="0.35">
      <c r="A12" s="21">
        <v>100</v>
      </c>
      <c r="B12" s="22">
        <f>COUNTIF('Lighting Trials'!$A$2:$A$383,$A12)</f>
        <v>40</v>
      </c>
      <c r="C12" s="22">
        <f>COUNTIFS('Lighting Trials'!$A$2:$A$383,$A12,'Lighting Trials'!$F$2:$F$383,"&lt;&gt;")</f>
        <v>25</v>
      </c>
      <c r="D12" s="23">
        <f t="shared" si="0"/>
        <v>0.625</v>
      </c>
      <c r="E12" s="22">
        <f t="shared" si="1"/>
        <v>15</v>
      </c>
      <c r="F12" s="24">
        <f>ROUND(AVERAGEIFS('Lighting Trials'!$G$2:$G$383,'Lighting Trials'!$A$2:$A$383,$A12,'Lighting Trials'!$F$2:$F$383,"&lt;&gt;"),4)</f>
        <v>0.70399999999999996</v>
      </c>
      <c r="G12" s="24">
        <f>ROUND(AVERAGEIFS('Lighting Trials'!$P$2:$P$383,'Lighting Trials'!$A$2:$A$383,$A12,'Lighting Trials'!$F$2:$F$383,"&lt;&gt;"),4)</f>
        <v>6.9000000000000006E-2</v>
      </c>
      <c r="H12" s="24" cm="1">
        <f t="array" ref="H12">ROUND(AVERAGE(_xlfn._xlws.FILTER(ABS('Lighting Trials'!$P$2:$P$383),('Lighting Trials'!$A$2:$A$383=$A12)*('Lighting Trials'!$F$2:$F$383&lt;&gt;""))),4)</f>
        <v>0.1424</v>
      </c>
      <c r="I12" s="24" cm="1">
        <f t="array" ref="I12">ROUND(MEDIAN(_xlfn._xlws.FILTER(ABS('Lighting Trials'!$P$2:$P$383),('Lighting Trials'!$A$2:$A$383=$A12)*('Lighting Trials'!$F$2:$F$383&lt;&gt;""))),4)</f>
        <v>1.2E-2</v>
      </c>
      <c r="J12" s="24" cm="1">
        <f t="array" ref="J12">ROUND(MIN(_xlfn._xlws.FILTER(ABS('Lighting Trials'!$P$2:$P$383),('Lighting Trials'!$A$2:$A$383=$A12)*('Lighting Trials'!$F$2:$F$383&lt;&gt;""))),4)</f>
        <v>1E-3</v>
      </c>
      <c r="K12" s="24" cm="1">
        <f t="array" ref="K12">ROUND(MAX(_xlfn._xlws.FILTER(ABS('Lighting Trials'!$P$2:$P$383),('Lighting Trials'!$A$2:$A$383=$A12)*('Lighting Trials'!$F$2:$F$383&lt;&gt;""))),4)</f>
        <v>2.1030000000000002</v>
      </c>
    </row>
    <row r="13" spans="1:11" x14ac:dyDescent="0.35">
      <c r="A13" s="5"/>
      <c r="B13" s="6"/>
      <c r="C13" s="6"/>
      <c r="D13" s="7"/>
      <c r="E13" s="6"/>
      <c r="F13" s="8"/>
      <c r="G13" s="8"/>
      <c r="H13" s="8"/>
      <c r="I13" s="8"/>
      <c r="J13" s="8"/>
      <c r="K13" s="8"/>
    </row>
    <row r="14" spans="1:11" x14ac:dyDescent="0.35">
      <c r="A14" s="13" t="s">
        <v>39</v>
      </c>
      <c r="B14" s="14"/>
      <c r="C14" s="14"/>
      <c r="D14" s="15"/>
      <c r="E14" s="14"/>
      <c r="F14" s="16"/>
      <c r="G14" s="16"/>
      <c r="H14" s="16"/>
      <c r="I14" s="16"/>
      <c r="J14" s="16"/>
      <c r="K14" s="16"/>
    </row>
    <row r="15" spans="1:11" x14ac:dyDescent="0.35">
      <c r="A15" s="9" t="s">
        <v>25</v>
      </c>
      <c r="B15" s="10" t="s">
        <v>26</v>
      </c>
      <c r="C15" s="10" t="s">
        <v>27</v>
      </c>
      <c r="D15" s="11" t="s">
        <v>28</v>
      </c>
      <c r="E15" s="10" t="s">
        <v>29</v>
      </c>
      <c r="F15" s="12" t="s">
        <v>30</v>
      </c>
      <c r="G15" s="12" t="s">
        <v>48</v>
      </c>
      <c r="H15" s="12" t="s">
        <v>31</v>
      </c>
      <c r="I15" s="12" t="s">
        <v>32</v>
      </c>
      <c r="J15" s="12" t="s">
        <v>33</v>
      </c>
      <c r="K15" s="12" t="s">
        <v>34</v>
      </c>
    </row>
    <row r="16" spans="1:11" x14ac:dyDescent="0.35">
      <c r="A16" s="25" t="s">
        <v>49</v>
      </c>
      <c r="B16" s="26">
        <f>COUNTA('Lighting Trials'!$A$2:$A$383)</f>
        <v>382</v>
      </c>
      <c r="C16" s="26">
        <f>COUNTIF('Lighting Trials'!$F$2:$F$383,"&lt;&gt;")</f>
        <v>235</v>
      </c>
      <c r="D16" s="27">
        <f>C16/B16</f>
        <v>0.61518324607329844</v>
      </c>
      <c r="E16" s="26">
        <f>B16-C16</f>
        <v>147</v>
      </c>
      <c r="F16" s="28" cm="1">
        <f t="array" ref="F16">ROUND(AVERAGE(_xlfn._xlws.FILTER('Lighting Trials'!$G$2:$G$383,('Lighting Trials'!$F$2:$F$383&lt;&gt;""))),4)</f>
        <v>0.7177</v>
      </c>
      <c r="G16" s="28" cm="1">
        <f t="array" ref="G16">ROUND(AVERAGE(_xlfn._xlws.FILTER('Lighting Trials'!$P$2:$P$383,('Lighting Trials'!$F$2:$F$383&lt;&gt;""))),4)</f>
        <v>9.2999999999999992E-3</v>
      </c>
      <c r="H16" s="28" cm="1">
        <f t="array" ref="H16">ROUND(AVERAGE(_xlfn._xlws.FILTER(ABS('Lighting Trials'!$P$2:$P$383),('Lighting Trials'!$F$2:$F$383&lt;&gt;""))),4)</f>
        <v>8.5300000000000001E-2</v>
      </c>
      <c r="I16" s="28" cm="1">
        <f t="array" ref="I16">ROUND(MEDIAN(_xlfn._xlws.FILTER(ABS('Lighting Trials'!$P$2:$P$383),('Lighting Trials'!$F$2:$F$383&lt;&gt;""))),4)</f>
        <v>0.01</v>
      </c>
      <c r="J16" s="28" cm="1">
        <f t="array" ref="J16">ROUND(MIN(_xlfn._xlws.FILTER(ABS('Lighting Trials'!$P$2:$P$383),('Lighting Trials'!$F$2:$F$383&lt;&gt;""))),4)</f>
        <v>1E-3</v>
      </c>
      <c r="K16" s="28" cm="1">
        <f t="array" ref="K16">ROUND(MAX(_xlfn._xlws.FILTER(ABS('Lighting Trials'!$P$2:$P$383),('Lighting Trials'!$F$2:$F$383&lt;&gt;""))),4)</f>
        <v>2.1070000000000002</v>
      </c>
    </row>
    <row r="17" spans="1:11" x14ac:dyDescent="0.35">
      <c r="A17" s="5"/>
      <c r="B17" s="6"/>
      <c r="C17" s="6"/>
      <c r="D17" s="7"/>
      <c r="E17" s="6"/>
      <c r="F17" s="8"/>
      <c r="G17" s="8"/>
      <c r="H17" s="8"/>
      <c r="I17" s="8"/>
      <c r="J17" s="8"/>
      <c r="K17" s="8"/>
    </row>
    <row r="18" spans="1:11" x14ac:dyDescent="0.35">
      <c r="A18" s="13" t="s">
        <v>35</v>
      </c>
      <c r="B18" s="14"/>
      <c r="C18" s="14"/>
      <c r="D18" s="15"/>
      <c r="E18" s="14"/>
      <c r="F18" s="16"/>
      <c r="G18" s="16"/>
      <c r="H18" s="16"/>
      <c r="I18" s="16"/>
      <c r="J18" s="16"/>
      <c r="K18" s="16"/>
    </row>
    <row r="19" spans="1:11" x14ac:dyDescent="0.35">
      <c r="A19" s="9" t="s">
        <v>25</v>
      </c>
      <c r="B19" s="10" t="s">
        <v>26</v>
      </c>
      <c r="C19" s="10" t="s">
        <v>27</v>
      </c>
      <c r="D19" s="11" t="s">
        <v>28</v>
      </c>
      <c r="E19" s="10" t="s">
        <v>29</v>
      </c>
      <c r="F19" s="12" t="s">
        <v>30</v>
      </c>
      <c r="G19" s="12" t="s">
        <v>48</v>
      </c>
      <c r="H19" s="12" t="s">
        <v>31</v>
      </c>
      <c r="I19" s="12" t="s">
        <v>32</v>
      </c>
      <c r="J19" s="12" t="s">
        <v>33</v>
      </c>
      <c r="K19" s="12" t="s">
        <v>34</v>
      </c>
    </row>
    <row r="20" spans="1:11" x14ac:dyDescent="0.35">
      <c r="A20" s="17" t="s">
        <v>21</v>
      </c>
      <c r="B20" s="18">
        <f>COUNTIF('Baseline Trials'!$B$2:$B$171,$A20)</f>
        <v>70</v>
      </c>
      <c r="C20" s="18">
        <f>COUNTIFS('Baseline Trials'!$B$2:$B$171,$A20,'Baseline Trials'!$E$2:$E$171,"&lt;&gt;")</f>
        <v>49</v>
      </c>
      <c r="D20" s="19">
        <f>C20/B20</f>
        <v>0.7</v>
      </c>
      <c r="E20" s="18">
        <f>B20-C20</f>
        <v>21</v>
      </c>
      <c r="F20" s="20">
        <f>ROUND(AVERAGEIFS('Baseline Trials'!$F$2:$F$171,'Baseline Trials'!$B$2:$B$171,$A20,'Baseline Trials'!$E$2:$E$171,"&lt;&gt;"),4)</f>
        <v>0.75409999999999999</v>
      </c>
      <c r="G20" s="20">
        <f>ROUND(AVERAGEIFS('Baseline Trials'!$O$2:$O$171,'Baseline Trials'!$B$2:$B$171,$A20,'Baseline Trials'!$E$2:$E$171,"&lt;&gt;"),4)</f>
        <v>0.1056</v>
      </c>
      <c r="H20" s="20" cm="1">
        <f t="array" ref="H20">ROUND(AVERAGE(_xlfn._xlws.FILTER(ABS('Baseline Trials'!$O$2:$O$171),('Baseline Trials'!$B$2:$B$171=$A20)*('Baseline Trials'!$E$2:$E$171&lt;&gt;""))),4)</f>
        <v>0.125</v>
      </c>
      <c r="I20" s="20" cm="1">
        <f t="array" ref="I20">ROUND(MEDIAN(_xlfn._xlws.FILTER(ABS('Baseline Trials'!$O$2:$O$171),('Baseline Trials'!$B$2:$B$171=$A20)*('Baseline Trials'!$E$2:$E$171&lt;&gt;""))),4)</f>
        <v>0.01</v>
      </c>
      <c r="J20" s="20" cm="1">
        <f t="array" ref="J20">ROUND(MIN(_xlfn._xlws.FILTER(ABS('Baseline Trials'!$O$2:$O$171),('Baseline Trials'!$B$2:$B$171=$A20)*('Baseline Trials'!$E$2:$E$171&lt;&gt;""))),4)</f>
        <v>0</v>
      </c>
      <c r="K20" s="20" cm="1">
        <f t="array" ref="K20">ROUND(MAX(_xlfn._xlws.FILTER(ABS('Baseline Trials'!$O$2:$O$171),('Baseline Trials'!$B$2:$B$171=$A20)*('Baseline Trials'!$E$2:$E$171&lt;&gt;""))),4)</f>
        <v>1.7609999999999999</v>
      </c>
    </row>
    <row r="21" spans="1:11" x14ac:dyDescent="0.35">
      <c r="A21" s="21" t="s">
        <v>20</v>
      </c>
      <c r="B21" s="22">
        <f>COUNTIF('Baseline Trials'!$B$2:$B$171,$A21)</f>
        <v>100</v>
      </c>
      <c r="C21" s="22">
        <f>COUNTIFS('Baseline Trials'!$B$2:$B$171,$A21,'Baseline Trials'!$E$2:$E$171,"&lt;&gt;")</f>
        <v>78</v>
      </c>
      <c r="D21" s="23">
        <f>C21/B21</f>
        <v>0.78</v>
      </c>
      <c r="E21" s="22">
        <f>B21-C21</f>
        <v>22</v>
      </c>
      <c r="F21" s="24">
        <f>ROUND(AVERAGEIFS('Baseline Trials'!$F$2:$F$171,'Baseline Trials'!$B$2:$B$171,$A21,'Baseline Trials'!$E$2:$E$171,"&lt;&gt;"),4)</f>
        <v>0.63539999999999996</v>
      </c>
      <c r="G21" s="24">
        <f>ROUND(AVERAGEIFS('Baseline Trials'!$O$2:$O$171,'Baseline Trials'!$B$2:$B$171,$A21,'Baseline Trials'!$E$2:$E$171,"&lt;&gt;"),4)</f>
        <v>-1.95E-2</v>
      </c>
      <c r="H21" s="24" cm="1">
        <f t="array" ref="H21">ROUND(AVERAGE(_xlfn._xlws.FILTER(ABS('Baseline Trials'!$O$2:$O$171),('Baseline Trials'!$B$2:$B$171=$A21)*('Baseline Trials'!$E$2:$E$171&lt;&gt;""))),4)</f>
        <v>2.1299999999999999E-2</v>
      </c>
      <c r="I21" s="24" cm="1">
        <f t="array" ref="I21">ROUND(MEDIAN(_xlfn._xlws.FILTER(ABS('Baseline Trials'!$O$2:$O$171),('Baseline Trials'!$B$2:$B$171=$A21)*('Baseline Trials'!$E$2:$E$171&lt;&gt;""))),4)</f>
        <v>1.0999999999999999E-2</v>
      </c>
      <c r="J21" s="24" cm="1">
        <f t="array" ref="J21">ROUND(MIN(_xlfn._xlws.FILTER(ABS('Baseline Trials'!$O$2:$O$171),('Baseline Trials'!$B$2:$B$171=$A21)*('Baseline Trials'!$E$2:$E$171&lt;&gt;""))),4)</f>
        <v>7.0000000000000001E-3</v>
      </c>
      <c r="K21" s="24" cm="1">
        <f t="array" ref="K21">ROUND(MAX(_xlfn._xlws.FILTER(ABS('Baseline Trials'!$O$2:$O$171),('Baseline Trials'!$B$2:$B$171=$A21)*('Baseline Trials'!$E$2:$E$171&lt;&gt;""))),4)</f>
        <v>6.7000000000000004E-2</v>
      </c>
    </row>
    <row r="22" spans="1:11" x14ac:dyDescent="0.35">
      <c r="A22" s="5"/>
      <c r="B22" s="6"/>
      <c r="C22" s="6"/>
      <c r="D22" s="7"/>
      <c r="E22" s="6"/>
      <c r="F22" s="8"/>
      <c r="G22" s="8"/>
      <c r="H22" s="8"/>
      <c r="I22" s="8"/>
      <c r="J22" s="8"/>
      <c r="K22" s="8"/>
    </row>
    <row r="23" spans="1:11" x14ac:dyDescent="0.35">
      <c r="A23" s="13" t="s">
        <v>36</v>
      </c>
      <c r="B23" s="14"/>
      <c r="C23" s="14"/>
      <c r="D23" s="15"/>
      <c r="E23" s="14"/>
      <c r="F23" s="16"/>
      <c r="G23" s="16"/>
      <c r="H23" s="16"/>
      <c r="I23" s="16"/>
      <c r="J23" s="16"/>
      <c r="K23" s="16"/>
    </row>
    <row r="24" spans="1:11" x14ac:dyDescent="0.35">
      <c r="A24" s="9" t="s">
        <v>25</v>
      </c>
      <c r="B24" s="10" t="s">
        <v>26</v>
      </c>
      <c r="C24" s="10" t="s">
        <v>27</v>
      </c>
      <c r="D24" s="11" t="s">
        <v>28</v>
      </c>
      <c r="E24" s="10" t="s">
        <v>29</v>
      </c>
      <c r="F24" s="12" t="s">
        <v>30</v>
      </c>
      <c r="G24" s="12" t="s">
        <v>48</v>
      </c>
      <c r="H24" s="12" t="s">
        <v>31</v>
      </c>
      <c r="I24" s="12" t="s">
        <v>32</v>
      </c>
      <c r="J24" s="12" t="s">
        <v>33</v>
      </c>
      <c r="K24" s="12" t="s">
        <v>34</v>
      </c>
    </row>
    <row r="25" spans="1:11" x14ac:dyDescent="0.35">
      <c r="A25" s="25" t="s">
        <v>47</v>
      </c>
      <c r="B25" s="26">
        <f>COUNTA('Baseline Trials'!$B$2:$B$171)</f>
        <v>170</v>
      </c>
      <c r="C25" s="26">
        <f>COUNTIF('Baseline Trials'!$E$2:$E$171,"&lt;&gt;")</f>
        <v>127</v>
      </c>
      <c r="D25" s="27">
        <f>C25/B25</f>
        <v>0.74705882352941178</v>
      </c>
      <c r="E25" s="26">
        <f>B25-C25</f>
        <v>43</v>
      </c>
      <c r="F25" s="28" cm="1">
        <f t="array" ref="F25">ROUND(AVERAGE(_xlfn._xlws.FILTER('Baseline Trials'!$F$2:$F$171,('Baseline Trials'!$E$2:$E$171&lt;&gt;""))),4)</f>
        <v>0.68120000000000003</v>
      </c>
      <c r="G25" s="28" cm="1">
        <f t="array" ref="G25">ROUND(AVERAGE(_xlfn._xlws.FILTER('Baseline Trials'!$O$2:$O$171,('Baseline Trials'!$E$2:$E$171&lt;&gt;""))),4)</f>
        <v>2.8799999999999999E-2</v>
      </c>
      <c r="H25" s="28" cm="1">
        <f t="array" ref="H25">ROUND(AVERAGE(_xlfn._xlws.FILTER(ABS('Baseline Trials'!$O$2:$O$171),('Baseline Trials'!$E$2:$E$171&lt;&gt;""))),4)</f>
        <v>6.13E-2</v>
      </c>
      <c r="I25" s="28" cm="1">
        <f t="array" ref="I25">ROUND(MEDIAN(_xlfn._xlws.FILTER(ABS('Baseline Trials'!$O$2:$O$171),('Baseline Trials'!$E$2:$E$171&lt;&gt;""))),4)</f>
        <v>1.0999999999999999E-2</v>
      </c>
      <c r="J25" s="28" cm="1">
        <f t="array" ref="J25">ROUND(MIN(_xlfn._xlws.FILTER(ABS('Baseline Trials'!$O$2:$O$171),('Baseline Trials'!$E$2:$E$171&lt;&gt;""))),4)</f>
        <v>0</v>
      </c>
      <c r="K25" s="28" cm="1">
        <f t="array" ref="K25">ROUND(MAX(_xlfn._xlws.FILTER(ABS('Baseline Trials'!$O$2:$O$171),('Baseline Trials'!$E$2:$E$171&lt;&gt;""))),4)</f>
        <v>1.7609999999999999</v>
      </c>
    </row>
    <row r="26" spans="1:11" x14ac:dyDescent="0.35">
      <c r="A26" s="5"/>
      <c r="B26" s="6"/>
      <c r="C26" s="6"/>
      <c r="D26" s="7"/>
      <c r="E26" s="6"/>
      <c r="F26" s="8"/>
      <c r="G26" s="8"/>
      <c r="H26" s="8"/>
      <c r="I26" s="8"/>
      <c r="J26" s="8"/>
      <c r="K26" s="8"/>
    </row>
    <row r="27" spans="1:11" x14ac:dyDescent="0.35">
      <c r="A27" s="13" t="s">
        <v>52</v>
      </c>
      <c r="B27" s="14"/>
      <c r="C27" s="14"/>
      <c r="D27" s="15"/>
      <c r="E27" s="14"/>
      <c r="F27" s="16"/>
      <c r="G27" s="16"/>
      <c r="H27" s="16"/>
      <c r="I27" s="16"/>
      <c r="J27" s="16"/>
      <c r="K27" s="16"/>
    </row>
    <row r="28" spans="1:11" x14ac:dyDescent="0.35">
      <c r="A28" s="9" t="s">
        <v>25</v>
      </c>
      <c r="B28" s="10" t="s">
        <v>26</v>
      </c>
      <c r="C28" s="10" t="s">
        <v>27</v>
      </c>
      <c r="D28" s="11" t="s">
        <v>28</v>
      </c>
      <c r="E28" s="10" t="s">
        <v>29</v>
      </c>
      <c r="F28" s="12" t="s">
        <v>30</v>
      </c>
      <c r="G28" s="12" t="s">
        <v>48</v>
      </c>
      <c r="H28" s="12" t="s">
        <v>31</v>
      </c>
      <c r="I28" s="12" t="s">
        <v>32</v>
      </c>
      <c r="J28" s="12" t="s">
        <v>33</v>
      </c>
      <c r="K28" s="12" t="s">
        <v>34</v>
      </c>
    </row>
    <row r="29" spans="1:11" x14ac:dyDescent="0.35">
      <c r="A29" s="17" t="s">
        <v>23</v>
      </c>
      <c r="B29" s="18" cm="1">
        <f t="array" ref="B29">SUM(COUNTIF('Clutter Trials'!$B$2:$B$42,{"clutter_lateral","clutter_lateral_2m","clutter_lateral_3m","clutter_lateral_4m"}))</f>
        <v>17</v>
      </c>
      <c r="C29" s="18" cm="1">
        <f t="array" ref="C29">SUM(COUNTIFS('Clutter Trials'!$B$2:$B$42,{"clutter_lateral","clutter_lateral_2m","clutter_lateral_3m","clutter_lateral_4m"},'Clutter Trials'!$E$2:$E$42,"&lt;&gt;"))</f>
        <v>5</v>
      </c>
      <c r="D29" s="19">
        <f>C29/B29</f>
        <v>0.29411764705882354</v>
      </c>
      <c r="E29" s="18">
        <f>B29-C29</f>
        <v>12</v>
      </c>
      <c r="F29" s="20" cm="1">
        <f t="array" ref="F29">ROUND(AVERAGE(_xlfn._xlws.FILTER('Clutter Trials'!$F$2:$F$42,ISNUMBER(MATCH('Clutter Trials'!$B$2:$B$42,{"clutter_lateral","clutter_lateral_2m","clutter_lateral_3m","clutter_lateral_4m"},0))*('Clutter Trials'!$E$2:$E$42&lt;&gt;""))),4)</f>
        <v>0.54800000000000004</v>
      </c>
      <c r="G29" s="20" cm="1">
        <f t="array" ref="G29">ROUND(AVERAGE(_xlfn._xlws.FILTER('Clutter Trials'!$O$2:$O$42,ISNUMBER(MATCH('Clutter Trials'!$B$2:$B$42,{"clutter_lateral","clutter_lateral_2m","clutter_lateral_3m","clutter_lateral_4m"},0))*('Clutter Trials'!$E$2:$E$42&lt;&gt;""))),4)</f>
        <v>-7.6E-3</v>
      </c>
      <c r="H29" s="20" cm="1">
        <f t="array" ref="H29">ROUND(AVERAGE(_xlfn._xlws.FILTER(ABS('Clutter Trials'!$O$2:$O$42),ISNUMBER(MATCH('Clutter Trials'!$B$2:$B$42,{"clutter_lateral","clutter_lateral_2m","clutter_lateral_3m","clutter_lateral_4m"},0))*('Clutter Trials'!$E$2:$E$42&lt;&gt;""))),4)</f>
        <v>2.12E-2</v>
      </c>
      <c r="I29" s="20" cm="1">
        <f t="array" ref="I29">ROUND(MEDIAN(_xlfn._xlws.FILTER(ABS('Clutter Trials'!$O$2:$O$42),ISNUMBER(MATCH('Clutter Trials'!$B$2:$B$42,{"clutter_lateral","clutter_lateral_2m","clutter_lateral_3m","clutter_lateral_4m"},0))*('Clutter Trials'!$E$2:$E$42&lt;&gt;""))),4)</f>
        <v>2.3E-2</v>
      </c>
      <c r="J29" s="20" cm="1">
        <f t="array" ref="J29">ROUND(MIN(_xlfn._xlws.FILTER(ABS('Clutter Trials'!$O$2:$O$42),ISNUMBER(MATCH('Clutter Trials'!$B$2:$B$42,{"clutter_lateral","clutter_lateral_2m","clutter_lateral_3m","clutter_lateral_4m"},0))*('Clutter Trials'!$E$2:$E$42&lt;&gt;""))),4)</f>
        <v>1.0999999999999999E-2</v>
      </c>
      <c r="K29" s="20" cm="1">
        <f t="array" ref="K29">ROUND(MAX(_xlfn._xlws.FILTER(ABS('Clutter Trials'!$O$2:$O$42),ISNUMBER(MATCH('Clutter Trials'!$B$2:$B$42,{"clutter_lateral","clutter_lateral_2m","clutter_lateral_3m","clutter_lateral_4m"},0))*('Clutter Trials'!$E$2:$E$42&lt;&gt;""))),4)</f>
        <v>3.5000000000000003E-2</v>
      </c>
    </row>
    <row r="30" spans="1:11" x14ac:dyDescent="0.35">
      <c r="A30" s="21" t="s">
        <v>22</v>
      </c>
      <c r="B30" s="22" cm="1">
        <f t="array" ref="B30">SUM(COUNTIF('Clutter Trials'!$B$2:$B$42,{"clutter_longitudinal","clutter_close_center","clutter_mid_center","clutter_far_center"}))</f>
        <v>24</v>
      </c>
      <c r="C30" s="22" cm="1">
        <f t="array" ref="C30">SUM(COUNTIFS('Clutter Trials'!$B$2:$B$42,{"clutter_longitudinal","clutter_close_center","clutter_mid_center","clutter_far_center"},'Clutter Trials'!$E$2:$E$42,"&lt;&gt;"))</f>
        <v>12</v>
      </c>
      <c r="D30" s="23">
        <f>C30/B30</f>
        <v>0.5</v>
      </c>
      <c r="E30" s="22">
        <f>B30-C30</f>
        <v>12</v>
      </c>
      <c r="F30" s="24" cm="1">
        <f t="array" ref="F30">ROUND(AVERAGE(_xlfn._xlws.FILTER('Clutter Trials'!$F$2:$F$42,ISNUMBER(MATCH('Clutter Trials'!$B$2:$B$42,{"clutter_longitudinal","clutter_close_center","clutter_mid_center","clutter_far_center"},0))*('Clutter Trials'!$E$2:$E$42&lt;&gt;""))),4)</f>
        <v>0.44500000000000001</v>
      </c>
      <c r="G30" s="24" cm="1">
        <f t="array" ref="G30">ROUND(AVERAGE(_xlfn._xlws.FILTER('Clutter Trials'!$O$2:$O$42,ISNUMBER(MATCH('Clutter Trials'!$B$2:$B$42,{"clutter_longitudinal","clutter_close_center","clutter_mid_center","clutter_far_center"},0))*('Clutter Trials'!$E$2:$E$42&lt;&gt;""))),4)</f>
        <v>-5.3699999999999998E-2</v>
      </c>
      <c r="H30" s="24" cm="1">
        <f t="array" ref="H30">ROUND(AVERAGE(_xlfn._xlws.FILTER(ABS('Clutter Trials'!$O$2:$O$42),ISNUMBER(MATCH('Clutter Trials'!$B$2:$B$42,{"clutter_longitudinal","clutter_close_center","clutter_mid_center","clutter_far_center"},0))*('Clutter Trials'!$E$2:$E$42&lt;&gt;""))),4)</f>
        <v>5.3699999999999998E-2</v>
      </c>
      <c r="I30" s="24" cm="1">
        <f t="array" ref="I30">ROUND(MEDIAN(_xlfn._xlws.FILTER(ABS('Clutter Trials'!$O$2:$O$42),ISNUMBER(MATCH('Clutter Trials'!$B$2:$B$42,{"clutter_longitudinal","clutter_close_center","clutter_mid_center","clutter_far_center"},0))*('Clutter Trials'!$E$2:$E$42&lt;&gt;""))),4)</f>
        <v>1.2E-2</v>
      </c>
      <c r="J30" s="24" cm="1">
        <f t="array" ref="J30">ROUND(MIN(_xlfn._xlws.FILTER(ABS('Clutter Trials'!$O$2:$O$42),ISNUMBER(MATCH('Clutter Trials'!$B$2:$B$42,{"clutter_longitudinal","clutter_close_center","clutter_mid_center","clutter_far_center"},0))*('Clutter Trials'!$E$2:$E$42&lt;&gt;""))),4)</f>
        <v>8.9999999999999993E-3</v>
      </c>
      <c r="K30" s="24" cm="1">
        <f t="array" ref="K30">ROUND(MAX(_xlfn._xlws.FILTER(ABS('Clutter Trials'!$O$2:$O$42),ISNUMBER(MATCH('Clutter Trials'!$B$2:$B$42,{"clutter_longitudinal","clutter_close_center","clutter_mid_center","clutter_far_center"},0))*('Clutter Trials'!$E$2:$E$42&lt;&gt;""))),4)</f>
        <v>0.51800000000000002</v>
      </c>
    </row>
    <row r="31" spans="1:11" x14ac:dyDescent="0.35">
      <c r="A31" s="5"/>
      <c r="B31" s="6"/>
      <c r="C31" s="6"/>
      <c r="D31" s="7"/>
      <c r="E31" s="6"/>
      <c r="F31" s="8"/>
      <c r="G31" s="8"/>
      <c r="H31" s="8"/>
      <c r="I31" s="8"/>
      <c r="J31" s="8"/>
      <c r="K31" s="8"/>
    </row>
    <row r="32" spans="1:11" x14ac:dyDescent="0.35">
      <c r="A32" s="13" t="s">
        <v>37</v>
      </c>
      <c r="B32" s="14"/>
      <c r="C32" s="14"/>
      <c r="D32" s="15"/>
      <c r="E32" s="14"/>
      <c r="F32" s="16"/>
      <c r="G32" s="16"/>
      <c r="H32" s="16"/>
      <c r="I32" s="16"/>
      <c r="J32" s="16"/>
      <c r="K32" s="16"/>
    </row>
    <row r="33" spans="1:13" x14ac:dyDescent="0.35">
      <c r="A33" s="9" t="s">
        <v>25</v>
      </c>
      <c r="B33" s="10" t="s">
        <v>26</v>
      </c>
      <c r="C33" s="10" t="s">
        <v>27</v>
      </c>
      <c r="D33" s="11" t="s">
        <v>28</v>
      </c>
      <c r="E33" s="10" t="s">
        <v>29</v>
      </c>
      <c r="F33" s="12" t="s">
        <v>30</v>
      </c>
      <c r="G33" s="12" t="s">
        <v>48</v>
      </c>
      <c r="H33" s="12" t="s">
        <v>31</v>
      </c>
      <c r="I33" s="12" t="s">
        <v>32</v>
      </c>
      <c r="J33" s="12" t="s">
        <v>33</v>
      </c>
      <c r="K33" s="12" t="s">
        <v>34</v>
      </c>
    </row>
    <row r="34" spans="1:13" x14ac:dyDescent="0.35">
      <c r="A34" s="25" t="s">
        <v>50</v>
      </c>
      <c r="B34" s="26">
        <f>COUNTA('Clutter Trials'!$B$2:$B$42)</f>
        <v>41</v>
      </c>
      <c r="C34" s="26">
        <f>COUNTIF('Clutter Trials'!$E$2:$E$42,"&lt;&gt;")</f>
        <v>17</v>
      </c>
      <c r="D34" s="27">
        <f>C34/B34</f>
        <v>0.41463414634146339</v>
      </c>
      <c r="E34" s="26">
        <f>B34-C34</f>
        <v>24</v>
      </c>
      <c r="F34" s="28" cm="1">
        <f t="array" ref="F34">ROUND(AVERAGE(_xlfn._xlws.FILTER('Clutter Trials'!$F$2:$F$42,('Clutter Trials'!$E$2:$E$42&lt;&gt;""))),4)</f>
        <v>0.4753</v>
      </c>
      <c r="G34" s="28" cm="1">
        <f t="array" ref="G34">ROUND(AVERAGE(_xlfn._xlws.FILTER('Clutter Trials'!$O$2:$O$42,('Clutter Trials'!$E$2:$E$42&lt;&gt;""))),4)</f>
        <v>-4.0099999999999997E-2</v>
      </c>
      <c r="H34" s="28" cm="1">
        <f t="array" ref="H34">ROUND(AVERAGE(_xlfn._xlws.FILTER(ABS('Clutter Trials'!$O$2:$O$42),('Clutter Trials'!$E$2:$E$42&lt;&gt;""))),4)</f>
        <v>4.41E-2</v>
      </c>
      <c r="I34" s="28" cm="1">
        <f t="array" ref="I34">ROUND(MEDIAN(_xlfn._xlws.FILTER(ABS('Clutter Trials'!$O$2:$O$42),('Clutter Trials'!$E$2:$E$42&lt;&gt;""))),4)</f>
        <v>1.2E-2</v>
      </c>
      <c r="J34" s="28" cm="1">
        <f t="array" ref="J34">ROUND(MIN(_xlfn._xlws.FILTER(ABS('Clutter Trials'!$O$2:$O$42),('Clutter Trials'!$E$2:$E$42&lt;&gt;""))),4)</f>
        <v>8.9999999999999993E-3</v>
      </c>
      <c r="K34" s="28" cm="1">
        <f t="array" ref="K34">ROUND(MAX(_xlfn._xlws.FILTER(ABS('Clutter Trials'!$O$2:$O$42),('Clutter Trials'!$E$2:$E$42&lt;&gt;""))),4)</f>
        <v>0.51800000000000002</v>
      </c>
    </row>
    <row r="35" spans="1:13" x14ac:dyDescent="0.35">
      <c r="A35" s="5"/>
      <c r="B35" s="6"/>
      <c r="C35" s="6"/>
      <c r="D35" s="7"/>
      <c r="E35" s="6"/>
      <c r="F35" s="8"/>
      <c r="G35" s="8"/>
      <c r="H35" s="8"/>
      <c r="I35" s="8"/>
      <c r="J35" s="8"/>
      <c r="K35" s="8"/>
    </row>
    <row r="36" spans="1:13" x14ac:dyDescent="0.35">
      <c r="A36" s="13" t="s">
        <v>38</v>
      </c>
      <c r="B36" s="14"/>
      <c r="C36" s="14"/>
      <c r="D36" s="15"/>
      <c r="E36" s="14"/>
      <c r="F36" s="16"/>
      <c r="G36" s="16"/>
      <c r="H36" s="16"/>
      <c r="I36" s="16"/>
      <c r="J36" s="16"/>
      <c r="K36" s="16"/>
    </row>
    <row r="37" spans="1:13" x14ac:dyDescent="0.35">
      <c r="A37" s="9" t="s">
        <v>25</v>
      </c>
      <c r="B37" s="10" t="s">
        <v>26</v>
      </c>
      <c r="C37" s="10" t="s">
        <v>27</v>
      </c>
      <c r="D37" s="11" t="s">
        <v>28</v>
      </c>
      <c r="E37" s="10" t="s">
        <v>29</v>
      </c>
      <c r="F37" s="12" t="s">
        <v>30</v>
      </c>
      <c r="G37" s="12" t="s">
        <v>48</v>
      </c>
      <c r="H37" s="12" t="s">
        <v>31</v>
      </c>
      <c r="I37" s="12" t="s">
        <v>32</v>
      </c>
      <c r="J37" s="12" t="s">
        <v>33</v>
      </c>
      <c r="K37" s="12" t="s">
        <v>34</v>
      </c>
      <c r="M37" s="12" t="s">
        <v>53</v>
      </c>
    </row>
    <row r="38" spans="1:13" x14ac:dyDescent="0.35">
      <c r="A38" s="25" t="s">
        <v>46</v>
      </c>
      <c r="B38" s="26">
        <f>SUM(B16,B25,B34)</f>
        <v>593</v>
      </c>
      <c r="C38" s="26">
        <f>SUM(C16,C25,C34)</f>
        <v>379</v>
      </c>
      <c r="D38" s="27">
        <f>C38/B38</f>
        <v>0.63912310286677909</v>
      </c>
      <c r="E38" s="26">
        <f>B38-C38</f>
        <v>214</v>
      </c>
      <c r="F38" s="28" cm="1">
        <f t="array" ref="F38">ROUND(AVERAGE(_xlfn.VSTACK(_xlfn._xlws.FILTER('Lighting Trials'!$G$2:$G$383,'Lighting Trials'!$F$2:$F$383&lt;&gt;""),_xlfn._xlws.FILTER('Baseline Trials'!$F$2:$F$171,'Baseline Trials'!$E$2:$E$171&lt;&gt;""),_xlfn._xlws.FILTER('Clutter Trials'!$F$2:$F$42,'Clutter Trials'!$E$2:$E$42&lt;&gt;""))),4)</f>
        <v>0.6946</v>
      </c>
      <c r="G38" s="28" cm="1">
        <f t="array" ref="G38">ROUND(AVERAGE(_xlfn.VSTACK(_xlfn._xlws.FILTER('Lighting Trials'!$P$2:$P$383,'Lighting Trials'!$F$2:$F$383&lt;&gt;""),_xlfn._xlws.FILTER('Baseline Trials'!$O$2:$O$171,'Baseline Trials'!$E$2:$E$171&lt;&gt;""),_xlfn._xlws.FILTER('Clutter Trials'!$O$2:$O$42,'Clutter Trials'!$E$2:$E$42&lt;&gt;""))),4)</f>
        <v>1.3599999999999999E-2</v>
      </c>
      <c r="H38" s="28" cm="1">
        <f t="array" ref="H38">ROUND(AVERAGE(ABS(_xlfn.VSTACK(_xlfn._xlws.FILTER('Lighting Trials'!$P$2:$P$383,'Lighting Trials'!$F$2:$F$383&lt;&gt;""),_xlfn._xlws.FILTER('Baseline Trials'!$O$2:$O$171,'Baseline Trials'!$E$2:$E$171&lt;&gt;""),_xlfn._xlws.FILTER('Clutter Trials'!$O$2:$O$42,'Clutter Trials'!$E$2:$E$42&lt;&gt;"")))),4)</f>
        <v>7.5399999999999995E-2</v>
      </c>
      <c r="I38" s="28" cm="1">
        <f t="array" ref="I38">ROUND(MEDIAN(ABS(_xlfn.VSTACK(_xlfn._xlws.FILTER('Lighting Trials'!$P$2:$P$383,'Lighting Trials'!$F$2:$F$383&lt;&gt;""),_xlfn._xlws.FILTER('Baseline Trials'!$O$2:$O$171,'Baseline Trials'!$E$2:$E$171&lt;&gt;""),_xlfn._xlws.FILTER('Clutter Trials'!$O$2:$O$42,'Clutter Trials'!$E$2:$E$42&lt;&gt;"")))),4)</f>
        <v>1.0999999999999999E-2</v>
      </c>
      <c r="J38" s="28">
        <f>MIN(J16,J25,J34)</f>
        <v>0</v>
      </c>
      <c r="K38" s="28">
        <f>MAX(K16,K25,K34)</f>
        <v>2.1070000000000002</v>
      </c>
    </row>
    <row r="44" spans="1:13" x14ac:dyDescent="0.35">
      <c r="A44" s="13" t="s">
        <v>51</v>
      </c>
      <c r="B44" s="14"/>
      <c r="C44" s="14"/>
      <c r="D44" s="15"/>
      <c r="E44" s="14"/>
      <c r="F44" s="16"/>
      <c r="G44" s="16"/>
      <c r="H44" s="16"/>
      <c r="I44" s="16"/>
      <c r="J44" s="16"/>
      <c r="K44" s="16"/>
    </row>
    <row r="45" spans="1:13" x14ac:dyDescent="0.35">
      <c r="A45" s="9" t="s">
        <v>25</v>
      </c>
      <c r="B45" s="10" t="s">
        <v>26</v>
      </c>
      <c r="C45" s="10" t="s">
        <v>27</v>
      </c>
      <c r="D45" s="11" t="s">
        <v>28</v>
      </c>
      <c r="E45" s="10" t="s">
        <v>29</v>
      </c>
      <c r="F45" s="12" t="s">
        <v>30</v>
      </c>
      <c r="G45" s="12" t="s">
        <v>48</v>
      </c>
      <c r="H45" s="12" t="s">
        <v>31</v>
      </c>
      <c r="I45" s="12" t="s">
        <v>32</v>
      </c>
      <c r="J45" s="12" t="s">
        <v>33</v>
      </c>
      <c r="K45" s="12" t="s">
        <v>34</v>
      </c>
    </row>
    <row r="46" spans="1:13" x14ac:dyDescent="0.35">
      <c r="A46" s="25" t="s">
        <v>50</v>
      </c>
      <c r="B46" s="26">
        <f>COUNTA('Clutter Trials'!$B$2:$B$42)</f>
        <v>41</v>
      </c>
      <c r="C46" s="26">
        <f>COUNTIF('Clutter Trials'!$E$2:$E$42,"&lt;&gt;")</f>
        <v>17</v>
      </c>
      <c r="D46" s="27">
        <f>C46/B46</f>
        <v>0.41463414634146339</v>
      </c>
      <c r="E46" s="26">
        <f>B46-C46</f>
        <v>24</v>
      </c>
      <c r="F46" s="28" cm="1">
        <f t="array" ref="F46">ROUND(AVERAGE(_xlfn._xlws.FILTER('Clutter Trials'!$F$2:$F$42,('Clutter Trials'!$E$2:$E$42&lt;&gt;""))),4)</f>
        <v>0.4753</v>
      </c>
      <c r="G46" s="28" cm="1">
        <f t="array" ref="G46">ROUND(AVERAGE(_xlfn._xlws.FILTER('Clutter Trials'!$O$2:$O$42,('Clutter Trials'!$E$2:$E$42&lt;&gt;""))),4)</f>
        <v>-4.0099999999999997E-2</v>
      </c>
      <c r="H46" s="28" cm="1">
        <f t="array" ref="H46">ROUND(AVERAGE(_xlfn._xlws.FILTER(ABS('Clutter Trials'!$O$2:$O$42),('Clutter Trials'!$E$2:$E$42&lt;&gt;""))),4)</f>
        <v>4.41E-2</v>
      </c>
      <c r="I46" s="28" cm="1">
        <f t="array" ref="I46">ROUND(MEDIAN(_xlfn._xlws.FILTER(ABS('Clutter Trials'!$O$2:$O$42),('Clutter Trials'!$E$2:$E$42&lt;&gt;""))),4)</f>
        <v>1.2E-2</v>
      </c>
      <c r="J46" s="28" cm="1">
        <f t="array" ref="J46">ROUND(MIN(_xlfn._xlws.FILTER(ABS('Clutter Trials'!$O$2:$O$42),('Clutter Trials'!$E$2:$E$42&lt;&gt;""))),4)</f>
        <v>8.9999999999999993E-3</v>
      </c>
      <c r="K46" s="28" cm="1">
        <f t="array" ref="K46">ROUND(MAX(_xlfn._xlws.FILTER(ABS('Clutter Trials'!$O$2:$O$42),('Clutter Trials'!$E$2:$E$42&lt;&gt;""))),4)</f>
        <v>0.51800000000000002</v>
      </c>
    </row>
    <row r="47" spans="1:13" x14ac:dyDescent="0.35">
      <c r="A47" s="25" t="s">
        <v>49</v>
      </c>
      <c r="B47" s="26">
        <f t="shared" ref="B47:K47" si="2">B16</f>
        <v>382</v>
      </c>
      <c r="C47" s="26">
        <f t="shared" si="2"/>
        <v>235</v>
      </c>
      <c r="D47" s="27">
        <f t="shared" si="2"/>
        <v>0.61518324607329844</v>
      </c>
      <c r="E47" s="26">
        <f t="shared" si="2"/>
        <v>147</v>
      </c>
      <c r="F47" s="28">
        <f t="shared" si="2"/>
        <v>0.7177</v>
      </c>
      <c r="G47" s="28">
        <f t="shared" si="2"/>
        <v>9.2999999999999992E-3</v>
      </c>
      <c r="H47" s="28">
        <f t="shared" si="2"/>
        <v>8.5300000000000001E-2</v>
      </c>
      <c r="I47" s="28">
        <f t="shared" si="2"/>
        <v>0.01</v>
      </c>
      <c r="J47" s="28">
        <f t="shared" si="2"/>
        <v>1E-3</v>
      </c>
      <c r="K47" s="28">
        <f t="shared" si="2"/>
        <v>2.1070000000000002</v>
      </c>
    </row>
    <row r="48" spans="1:13" x14ac:dyDescent="0.35">
      <c r="A48" s="25" t="s">
        <v>47</v>
      </c>
      <c r="B48" s="26">
        <f t="shared" ref="B48:K48" si="3">B25</f>
        <v>170</v>
      </c>
      <c r="C48" s="26">
        <f t="shared" si="3"/>
        <v>127</v>
      </c>
      <c r="D48" s="27">
        <f t="shared" si="3"/>
        <v>0.74705882352941178</v>
      </c>
      <c r="E48" s="26">
        <f t="shared" si="3"/>
        <v>43</v>
      </c>
      <c r="F48" s="28">
        <f t="shared" si="3"/>
        <v>0.68120000000000003</v>
      </c>
      <c r="G48" s="28">
        <f t="shared" si="3"/>
        <v>2.8799999999999999E-2</v>
      </c>
      <c r="H48" s="28">
        <f t="shared" si="3"/>
        <v>6.13E-2</v>
      </c>
      <c r="I48" s="28">
        <f t="shared" si="3"/>
        <v>1.0999999999999999E-2</v>
      </c>
      <c r="J48" s="28">
        <f t="shared" si="3"/>
        <v>0</v>
      </c>
      <c r="K48" s="28">
        <f t="shared" si="3"/>
        <v>1.7609999999999999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Lighting Trials</vt:lpstr>
      <vt:lpstr>Baseline Trials</vt:lpstr>
      <vt:lpstr>Clutter Trials</vt:lpstr>
      <vt:lpstr>Combined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Scott Tavares</cp:lastModifiedBy>
  <dcterms:created xsi:type="dcterms:W3CDTF">2026-06-04T09:23:14Z</dcterms:created>
  <dcterms:modified xsi:type="dcterms:W3CDTF">2026-06-08T00:16:49Z</dcterms:modified>
</cp:coreProperties>
</file>